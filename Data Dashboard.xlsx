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ownloads\New folder\"/>
    </mc:Choice>
  </mc:AlternateContent>
  <xr:revisionPtr revIDLastSave="0" documentId="8_{85A63FD9-F00F-4F03-B864-40652815D2A8}" xr6:coauthVersionLast="47" xr6:coauthVersionMax="47" xr10:uidLastSave="{00000000-0000-0000-0000-000000000000}"/>
  <bookViews>
    <workbookView xWindow="-108" yWindow="-108" windowWidth="23256" windowHeight="12456" xr2:uid="{A989B254-5021-485D-8624-F8602C6B0E17}"/>
  </bookViews>
  <sheets>
    <sheet name="Dashboard" sheetId="2" r:id="rId1"/>
    <sheet name="Model" sheetId="1" r:id="rId2"/>
  </sheets>
  <definedNames>
    <definedName name="Slicer_Gender_Icon">#N/A</definedName>
    <definedName name="Slicer_Inspection_Icon">#N/A</definedName>
    <definedName name="Slicer_Product_Icon">#N/A</definedName>
    <definedName name="Slicer_Sales_Person">#N/A</definedName>
    <definedName name="Slicer_Stat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30ee34e7-311f-4acb-8607-295f6ad0cbf4" name="Data" connection="Query -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 i="2" l="1"/>
  <c r="F10" i="2"/>
  <c r="J17" i="2"/>
  <c r="F17" i="2"/>
  <c r="J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676840-2C2F-403A-94B1-CCA5192FFBCB}" name="Query - Data" description="Connection to the 'Data' query in the workbook." type="100" refreshedVersion="8" minRefreshableVersion="5">
    <extLst>
      <ext xmlns:x15="http://schemas.microsoft.com/office/spreadsheetml/2010/11/main" uri="{DE250136-89BD-433C-8126-D09CA5730AF9}">
        <x15:connection id="08bd67e8-b31a-4536-85ab-a1aa7d1bbef4"/>
      </ext>
    </extLst>
  </connection>
  <connection id="2" xr16:uid="{001F6618-69FF-4083-9E0C-65973E89D3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<sst xmlns="http://schemas.openxmlformats.org/spreadsheetml/2006/main" count="101" uniqueCount="41">
  <si>
    <t>Lead</t>
  </si>
  <si>
    <t>Clients</t>
  </si>
  <si>
    <t>Conversion Rate %</t>
  </si>
  <si>
    <t xml:space="preserve">Pending </t>
  </si>
  <si>
    <t>Sales Executive</t>
  </si>
  <si>
    <t>Row Labels</t>
  </si>
  <si>
    <t>Ahmed</t>
  </si>
  <si>
    <t>Chioma</t>
  </si>
  <si>
    <t>Chukwudi</t>
  </si>
  <si>
    <t>Funmi</t>
  </si>
  <si>
    <t>Ngozi</t>
  </si>
  <si>
    <t>Olumide</t>
  </si>
  <si>
    <t>Grand Total</t>
  </si>
  <si>
    <t>Gender</t>
  </si>
  <si>
    <t>Female</t>
  </si>
  <si>
    <t>Male</t>
  </si>
  <si>
    <t>Product</t>
  </si>
  <si>
    <t>Commercial</t>
  </si>
  <si>
    <t>Industrial</t>
  </si>
  <si>
    <t>Residential</t>
  </si>
  <si>
    <t>Inspection</t>
  </si>
  <si>
    <t>No</t>
  </si>
  <si>
    <t>Yes</t>
  </si>
  <si>
    <t>States</t>
  </si>
  <si>
    <t>Lagos</t>
  </si>
  <si>
    <t>Rivers</t>
  </si>
  <si>
    <t>Total  Leads</t>
  </si>
  <si>
    <t>Total  Clients</t>
  </si>
  <si>
    <t>Pending Clients</t>
  </si>
  <si>
    <t>Lead Distribution</t>
  </si>
  <si>
    <t>Products</t>
  </si>
  <si>
    <t>Pending Conversion rate%</t>
  </si>
  <si>
    <t>Sales Person</t>
  </si>
  <si>
    <t>Conversion Rate Analysis</t>
  </si>
  <si>
    <t>Dashboard</t>
  </si>
  <si>
    <t>Residential     Industrial   Commercial</t>
  </si>
  <si>
    <t xml:space="preserve"> 64.6%                 0.0%              34.6%</t>
  </si>
  <si>
    <t>EMERALD</t>
  </si>
  <si>
    <t>PRIME PROPERTIES</t>
  </si>
  <si>
    <t>Hi, Timothy</t>
  </si>
  <si>
    <t>www.linkedin.com/in/chukwuebuka-ugwu-01a052194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</si>
</sst>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
    <numFmt numFmtId="165" formatCode="0.0%"/>
    <numFmt numFmtId="166" formatCode="[$-F800]dddd\,\ mmmm\ dd\,\ yyyy"/>
  </numFmts>
  <fonts count="11" x14ac:knownFonts="1">
    <font>
      <sz val="11"/>
      <color theme="1"/>
      <name val="Aptos Narrow"/>
      <family val="2"/>
      <scheme val="minor"/>
    </font>
    <font>
      <sz val="11"/>
      <color theme="0" tint="-0.499984740745262"/>
      <name val="Aptos Narrow"/>
      <family val="2"/>
      <scheme val="minor"/>
    </font>
    <font>
      <b/>
      <sz val="28"/>
      <color theme="0" tint="-0.499984740745262"/>
      <name val="Aptos Narrow"/>
      <family val="2"/>
      <scheme val="minor"/>
    </font>
    <font>
      <sz val="8"/>
      <color theme="2" tint="-0.249977111117893"/>
      <name val="Aptos Narrow"/>
      <family val="2"/>
      <scheme val="minor"/>
    </font>
    <font>
      <sz val="11"/>
      <color theme="2" tint="-0.499984740745262"/>
      <name val="Aptos Narrow"/>
      <family val="2"/>
      <scheme val="minor"/>
    </font>
    <font>
      <b/>
      <sz val="28"/>
      <color theme="2" tint="-0.499984740745262"/>
      <name val="Aptos Narrow"/>
      <family val="2"/>
      <scheme val="minor"/>
    </font>
    <font>
      <sz val="11"/>
      <color theme="1" tint="0.249977111117893"/>
      <name val="Aptos Narrow"/>
      <family val="2"/>
      <scheme val="minor"/>
    </font>
    <font>
      <sz val="12"/>
      <color theme="0" tint="-0.499984740745262"/>
      <name val="Aptos Narrow"/>
      <family val="2"/>
      <scheme val="minor"/>
    </font>
    <font>
      <sz val="18"/>
      <color theme="0" tint="-0.499984740745262"/>
      <name val="Aptos Narrow"/>
      <family val="2"/>
      <scheme val="minor"/>
    </font>
    <font>
      <b/>
      <sz val="18"/>
      <color theme="0" tint="-0.499984740745262"/>
      <name val="Aptos Narrow"/>
      <family val="2"/>
      <scheme val="minor"/>
    </font>
    <font>
      <sz val="8"/>
      <color theme="2" tint="-0.499984740745262"/>
      <name val="Segoe UI"/>
      <family val="2"/>
    </font>
  </fonts>
  <fills count="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2" tint="-0.749992370372631"/>
        <bgColor indexed="64"/>
      </patternFill>
    </fill>
    <fill>
      <patternFill patternType="solid">
        <fgColor theme="1" tint="4.9989318521683403E-2"/>
        <bgColor indexed="64"/>
      </patternFill>
    </fill>
    <fill>
      <patternFill patternType="solid">
        <fgColor theme="2" tint="-0.89999084444715716"/>
        <bgColor indexed="64"/>
      </patternFill>
    </fill>
  </fills>
  <borders count="1">
    <border>
      <left/>
      <right/>
      <top/>
      <bottom/>
      <diagonal/>
    </border>
  </borders>
  <cellStyleXfs count="1">
    <xf numFmtId="0" fontId="0" fillId="0" borderId="0"/>
  </cellStyleXfs>
  <cellXfs count="30">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1" fillId="4" borderId="0" xfId="0" applyFont="1" applyFill="1"/>
    <xf numFmtId="0" fontId="1" fillId="5" borderId="0" xfId="0" applyFont="1" applyFill="1"/>
    <xf numFmtId="0" fontId="1" fillId="4" borderId="0" xfId="0" applyFont="1" applyFill="1" applyAlignment="1"/>
    <xf numFmtId="0" fontId="0" fillId="0" borderId="0" xfId="0" applyNumberFormat="1"/>
    <xf numFmtId="0" fontId="0" fillId="0" borderId="0" xfId="0" applyAlignment="1">
      <alignment horizontal="left" indent="1"/>
    </xf>
    <xf numFmtId="164" fontId="3" fillId="4" borderId="0" xfId="0" applyNumberFormat="1" applyFont="1" applyFill="1"/>
    <xf numFmtId="0" fontId="4" fillId="4" borderId="0" xfId="0" applyFont="1" applyFill="1" applyAlignment="1"/>
    <xf numFmtId="0" fontId="4" fillId="4" borderId="0" xfId="0" applyFont="1" applyFill="1"/>
    <xf numFmtId="0" fontId="6" fillId="5" borderId="0" xfId="0" applyFont="1" applyFill="1"/>
    <xf numFmtId="0" fontId="8" fillId="4" borderId="0" xfId="0" applyFont="1" applyFill="1" applyAlignment="1">
      <alignment horizontal="left" vertical="center"/>
    </xf>
    <xf numFmtId="0" fontId="7" fillId="4" borderId="0" xfId="0" applyFont="1" applyFill="1" applyAlignment="1">
      <alignment horizontal="left" vertical="center"/>
    </xf>
    <xf numFmtId="0" fontId="9" fillId="4" borderId="0" xfId="0" applyFont="1" applyFill="1" applyAlignment="1">
      <alignment horizontal="left" vertical="center"/>
    </xf>
    <xf numFmtId="0" fontId="5" fillId="4" borderId="0" xfId="0" applyFont="1" applyFill="1" applyAlignment="1">
      <alignment horizontal="left" vertical="top" indent="1"/>
    </xf>
    <xf numFmtId="0" fontId="8" fillId="5" borderId="0" xfId="0" applyFont="1" applyFill="1" applyAlignment="1">
      <alignment horizontal="left"/>
    </xf>
    <xf numFmtId="166" fontId="1" fillId="5" borderId="0" xfId="0" applyNumberFormat="1" applyFont="1" applyFill="1" applyAlignment="1">
      <alignment horizontal="left"/>
    </xf>
    <xf numFmtId="0" fontId="10" fillId="6" borderId="0" xfId="0" applyFont="1" applyFill="1" applyAlignment="1">
      <alignment horizontal="left" indent="15"/>
    </xf>
    <xf numFmtId="0" fontId="1" fillId="4" borderId="0" xfId="0" applyFont="1" applyFill="1" applyAlignment="1">
      <alignment horizontal="left"/>
    </xf>
    <xf numFmtId="0" fontId="4" fillId="4" borderId="0" xfId="0" applyFont="1" applyFill="1" applyAlignment="1">
      <alignment horizontal="left" indent="8"/>
    </xf>
    <xf numFmtId="0" fontId="1" fillId="4" borderId="0" xfId="0" applyFont="1" applyFill="1" applyAlignment="1">
      <alignment horizontal="left" indent="1"/>
    </xf>
    <xf numFmtId="0" fontId="4" fillId="4" borderId="0" xfId="0" applyFont="1" applyFill="1" applyAlignment="1">
      <alignment horizontal="left" indent="1"/>
    </xf>
    <xf numFmtId="0" fontId="2" fillId="4" borderId="0" xfId="0" applyFont="1" applyFill="1" applyAlignment="1">
      <alignment horizontal="left" vertical="center" indent="1"/>
    </xf>
    <xf numFmtId="0" fontId="2" fillId="4" borderId="0" xfId="0" applyFont="1" applyFill="1" applyAlignment="1">
      <alignment horizontal="left" vertical="top" indent="1"/>
    </xf>
    <xf numFmtId="165" fontId="2" fillId="4" borderId="0" xfId="0" applyNumberFormat="1" applyFont="1" applyFill="1" applyAlignment="1">
      <alignment horizontal="left" vertical="top" indent="1"/>
    </xf>
  </cellXfs>
  <cellStyles count="1">
    <cellStyle name="Normal" xfId="0" builtinId="0"/>
  </cellStyles>
  <dxfs count="4">
    <dxf>
      <font>
        <color rgb="FFFF0000"/>
      </font>
    </dxf>
    <dxf>
      <font>
        <color theme="9" tint="-0.24994659260841701"/>
      </font>
    </dxf>
    <dxf>
      <fill>
        <patternFill>
          <bgColor theme="1" tint="4.9989318521683403E-2"/>
        </patternFill>
      </fill>
    </dxf>
    <dxf>
      <font>
        <sz val="9"/>
        <color theme="0" tint="-0.499984740745262"/>
      </font>
      <fill>
        <patternFill>
          <bgColor theme="2" tint="-0.749961851863155"/>
        </patternFill>
      </fill>
    </dxf>
  </dxfs>
  <tableStyles count="2" defaultTableStyle="TableStyleMedium2" defaultPivotStyle="PivotStyleLight16">
    <tableStyle name="Slicer Style 1" pivot="0" table="0" count="2" xr9:uid="{013E861C-CEE7-47A4-AC6A-DB69EAFEC70E}">
      <tableStyleElement type="wholeTable" dxfId="3"/>
    </tableStyle>
    <tableStyle name="Slicer Style 2" pivot="0" table="0" count="2" xr9:uid="{C31C3D05-F12B-41BD-9DE3-E10974E4DBD6}">
      <tableStyleElement type="wholeTable" dxfId="2"/>
    </tableStyle>
  </tableStyles>
  <extLst>
    <ext xmlns:x14="http://schemas.microsoft.com/office/spreadsheetml/2009/9/main" uri="{46F421CA-312F-682f-3DD2-61675219B42D}">
      <x14:dxfs count="2">
        <dxf>
          <fill>
            <patternFill>
              <bgColor theme="2" tint="-0.749961851863155"/>
            </patternFill>
          </fill>
        </dxf>
        <dxf>
          <fill>
            <patternFill>
              <bgColor theme="1"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pivotCacheDefinition" Target="pivotCache/pivotCacheDefinition1.xml"/><Relationship Id="rId21" Type="http://schemas.openxmlformats.org/officeDocument/2006/relationships/theme" Target="theme/theme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sharedStrings" Target="sharedStrings.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styles" Target="styles.xml"/><Relationship Id="rId10" Type="http://schemas.openxmlformats.org/officeDocument/2006/relationships/pivotCacheDefinition" Target="pivotCache/pivotCacheDefinition8.xml"/><Relationship Id="rId19" Type="http://schemas.microsoft.com/office/2007/relationships/slicerCache" Target="slicerCaches/slicerCache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Dashboard.xlsx]Model!sales1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580927384076992E-2"/>
          <c:y val="0.13786818314377369"/>
          <c:w val="0.90297462817147855"/>
          <c:h val="0.65890128317293672"/>
        </c:manualLayout>
      </c:layout>
      <c:barChart>
        <c:barDir val="col"/>
        <c:grouping val="clustered"/>
        <c:varyColors val="0"/>
        <c:ser>
          <c:idx val="0"/>
          <c:order val="0"/>
          <c:tx>
            <c:strRef>
              <c:f>Model!$D$7</c:f>
              <c:strCache>
                <c:ptCount val="1"/>
                <c:pt idx="0">
                  <c:v>Lead</c:v>
                </c:pt>
              </c:strCache>
            </c:strRef>
          </c:tx>
          <c:spPr>
            <a:solidFill>
              <a:schemeClr val="accent5">
                <a:lumMod val="75000"/>
              </a:schemeClr>
            </a:solidFill>
            <a:ln>
              <a:noFill/>
            </a:ln>
            <a:effectLst/>
          </c:spPr>
          <c:invertIfNegative val="0"/>
          <c:cat>
            <c:strRef>
              <c:f>Model!$C$8:$C$14</c:f>
              <c:strCache>
                <c:ptCount val="6"/>
                <c:pt idx="0">
                  <c:v>Ahmed</c:v>
                </c:pt>
                <c:pt idx="1">
                  <c:v>Chioma</c:v>
                </c:pt>
                <c:pt idx="2">
                  <c:v>Chukwudi</c:v>
                </c:pt>
                <c:pt idx="3">
                  <c:v>Funmi</c:v>
                </c:pt>
                <c:pt idx="4">
                  <c:v>Ngozi</c:v>
                </c:pt>
                <c:pt idx="5">
                  <c:v>Olumide</c:v>
                </c:pt>
              </c:strCache>
            </c:strRef>
          </c:cat>
          <c:val>
            <c:numRef>
              <c:f>Model!$D$8:$D$14</c:f>
              <c:numCache>
                <c:formatCode>#,##0</c:formatCode>
                <c:ptCount val="6"/>
                <c:pt idx="0">
                  <c:v>22</c:v>
                </c:pt>
                <c:pt idx="1">
                  <c:v>48</c:v>
                </c:pt>
                <c:pt idx="2">
                  <c:v>43</c:v>
                </c:pt>
                <c:pt idx="3">
                  <c:v>49</c:v>
                </c:pt>
                <c:pt idx="4">
                  <c:v>21</c:v>
                </c:pt>
                <c:pt idx="5">
                  <c:v>42</c:v>
                </c:pt>
              </c:numCache>
            </c:numRef>
          </c:val>
          <c:extLst>
            <c:ext xmlns:c16="http://schemas.microsoft.com/office/drawing/2014/chart" uri="{C3380CC4-5D6E-409C-BE32-E72D297353CC}">
              <c16:uniqueId val="{00000000-9A9B-4669-BD67-D78D25F4B667}"/>
            </c:ext>
          </c:extLst>
        </c:ser>
        <c:ser>
          <c:idx val="1"/>
          <c:order val="1"/>
          <c:tx>
            <c:strRef>
              <c:f>Model!$E$7</c:f>
              <c:strCache>
                <c:ptCount val="1"/>
                <c:pt idx="0">
                  <c:v>Clients</c:v>
                </c:pt>
              </c:strCache>
            </c:strRef>
          </c:tx>
          <c:spPr>
            <a:solidFill>
              <a:schemeClr val="accent5">
                <a:lumMod val="40000"/>
                <a:lumOff val="60000"/>
              </a:schemeClr>
            </a:solidFill>
            <a:ln>
              <a:noFill/>
            </a:ln>
            <a:effectLst/>
          </c:spPr>
          <c:invertIfNegative val="0"/>
          <c:cat>
            <c:strRef>
              <c:f>Model!$C$8:$C$14</c:f>
              <c:strCache>
                <c:ptCount val="6"/>
                <c:pt idx="0">
                  <c:v>Ahmed</c:v>
                </c:pt>
                <c:pt idx="1">
                  <c:v>Chioma</c:v>
                </c:pt>
                <c:pt idx="2">
                  <c:v>Chukwudi</c:v>
                </c:pt>
                <c:pt idx="3">
                  <c:v>Funmi</c:v>
                </c:pt>
                <c:pt idx="4">
                  <c:v>Ngozi</c:v>
                </c:pt>
                <c:pt idx="5">
                  <c:v>Olumide</c:v>
                </c:pt>
              </c:strCache>
            </c:strRef>
          </c:cat>
          <c:val>
            <c:numRef>
              <c:f>Model!$E$8:$E$14</c:f>
              <c:numCache>
                <c:formatCode>#,##0</c:formatCode>
                <c:ptCount val="6"/>
                <c:pt idx="0">
                  <c:v>5</c:v>
                </c:pt>
                <c:pt idx="1">
                  <c:v>20</c:v>
                </c:pt>
                <c:pt idx="2">
                  <c:v>18</c:v>
                </c:pt>
                <c:pt idx="3">
                  <c:v>28</c:v>
                </c:pt>
                <c:pt idx="4">
                  <c:v>15</c:v>
                </c:pt>
                <c:pt idx="5">
                  <c:v>14</c:v>
                </c:pt>
              </c:numCache>
            </c:numRef>
          </c:val>
          <c:extLst>
            <c:ext xmlns:c16="http://schemas.microsoft.com/office/drawing/2014/chart" uri="{C3380CC4-5D6E-409C-BE32-E72D297353CC}">
              <c16:uniqueId val="{00000001-9A9B-4669-BD67-D78D25F4B667}"/>
            </c:ext>
          </c:extLst>
        </c:ser>
        <c:dLbls>
          <c:showLegendKey val="0"/>
          <c:showVal val="0"/>
          <c:showCatName val="0"/>
          <c:showSerName val="0"/>
          <c:showPercent val="0"/>
          <c:showBubbleSize val="0"/>
        </c:dLbls>
        <c:gapWidth val="219"/>
        <c:overlap val="-27"/>
        <c:axId val="643703184"/>
        <c:axId val="643716624"/>
      </c:barChart>
      <c:catAx>
        <c:axId val="6437031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3716624"/>
        <c:crosses val="autoZero"/>
        <c:auto val="1"/>
        <c:lblAlgn val="ctr"/>
        <c:lblOffset val="100"/>
        <c:noMultiLvlLbl val="0"/>
      </c:catAx>
      <c:valAx>
        <c:axId val="643716624"/>
        <c:scaling>
          <c:orientation val="minMax"/>
        </c:scaling>
        <c:delete val="0"/>
        <c:axPos val="l"/>
        <c:majorGridlines>
          <c:spPr>
            <a:ln w="9525" cap="flat" cmpd="sng" algn="ctr">
              <a:solidFill>
                <a:schemeClr val="tx1">
                  <a:lumMod val="95000"/>
                  <a:lumOff val="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03184"/>
        <c:crosses val="autoZero"/>
        <c:crossBetween val="between"/>
      </c:valAx>
      <c:spPr>
        <a:noFill/>
        <a:ln>
          <a:noFill/>
        </a:ln>
        <a:effectLst/>
      </c:spPr>
    </c:plotArea>
    <c:legend>
      <c:legendPos val="t"/>
      <c:layout>
        <c:manualLayout>
          <c:xMode val="edge"/>
          <c:yMode val="edge"/>
          <c:x val="5.2290595751002832E-2"/>
          <c:y val="3.6842117986641103E-2"/>
          <c:w val="0.3180603179319566"/>
          <c:h val="0.103619182075971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Dashboard.xlsx]Model!gender1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957862641443078"/>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565086188624268"/>
              <c:y val="0.162037037037037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511264419068733"/>
                  <c:h val="0.10178258967629046"/>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957862641443078"/>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565086188624268"/>
              <c:y val="0.162037037037037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511264419068733"/>
                  <c:h val="0.10178258967629046"/>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noFill/>
          </a:ln>
          <a:effectLst/>
        </c:spPr>
        <c:dLbl>
          <c:idx val="0"/>
          <c:layout>
            <c:manualLayout>
              <c:x val="0.20066953200693438"/>
              <c:y val="-5.6405592024026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617453078456515"/>
                  <c:h val="0.13635675686909315"/>
                </c:manualLayout>
              </c15:layout>
            </c:ext>
          </c:extLst>
        </c:dLbl>
      </c:pivotFmt>
      <c:pivotFmt>
        <c:idx val="8"/>
        <c:spPr>
          <a:solidFill>
            <a:schemeClr val="accent5">
              <a:lumMod val="75000"/>
            </a:schemeClr>
          </a:solidFill>
          <a:ln w="19050">
            <a:noFill/>
          </a:ln>
          <a:effectLst/>
        </c:spPr>
        <c:dLbl>
          <c:idx val="0"/>
          <c:layout>
            <c:manualLayout>
              <c:x val="-0.10546899897099504"/>
              <c:y val="0.1935944184340224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38538660642023"/>
                  <c:h val="0.14194672609783279"/>
                </c:manualLayout>
              </c15:layout>
            </c:ext>
          </c:extLst>
        </c:dLbl>
      </c:pivotFmt>
    </c:pivotFmts>
    <c:plotArea>
      <c:layout>
        <c:manualLayout>
          <c:layoutTarget val="inner"/>
          <c:xMode val="edge"/>
          <c:yMode val="edge"/>
          <c:x val="0.20292785402179561"/>
          <c:y val="0.12069553805774279"/>
          <c:w val="0.58616805643435488"/>
          <c:h val="0.68048337707786521"/>
        </c:manualLayout>
      </c:layout>
      <c:doughnutChart>
        <c:varyColors val="1"/>
        <c:ser>
          <c:idx val="0"/>
          <c:order val="0"/>
          <c:tx>
            <c:strRef>
              <c:f>Model!$J$16</c:f>
              <c:strCache>
                <c:ptCount val="1"/>
                <c:pt idx="0">
                  <c:v>Total</c:v>
                </c:pt>
              </c:strCache>
            </c:strRef>
          </c:tx>
          <c:dPt>
            <c:idx val="0"/>
            <c:bubble3D val="0"/>
            <c:spPr>
              <a:solidFill>
                <a:schemeClr val="tx1"/>
              </a:solidFill>
              <a:ln w="19050">
                <a:noFill/>
              </a:ln>
              <a:effectLst/>
            </c:spPr>
            <c:extLst>
              <c:ext xmlns:c16="http://schemas.microsoft.com/office/drawing/2014/chart" uri="{C3380CC4-5D6E-409C-BE32-E72D297353CC}">
                <c16:uniqueId val="{00000001-CA1C-442B-93A9-E678DFBC28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1C-442B-93A9-E678DFBC285C}"/>
              </c:ext>
            </c:extLst>
          </c:dPt>
          <c:dLbls>
            <c:dLbl>
              <c:idx val="0"/>
              <c:layout>
                <c:manualLayout>
                  <c:x val="0.20066953200693438"/>
                  <c:y val="-5.6405592024026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617453078456515"/>
                      <c:h val="0.13635675686909315"/>
                    </c:manualLayout>
                  </c15:layout>
                </c:ext>
                <c:ext xmlns:c16="http://schemas.microsoft.com/office/drawing/2014/chart" uri="{C3380CC4-5D6E-409C-BE32-E72D297353CC}">
                  <c16:uniqueId val="{00000001-CA1C-442B-93A9-E678DFBC28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Model!$I$17:$I$18</c:f>
              <c:strCache>
                <c:ptCount val="1"/>
                <c:pt idx="0">
                  <c:v>Female</c:v>
                </c:pt>
              </c:strCache>
            </c:strRef>
          </c:cat>
          <c:val>
            <c:numRef>
              <c:f>Model!$J$17:$J$18</c:f>
              <c:numCache>
                <c:formatCode>0.0%;\-0.0%;0.0%</c:formatCode>
                <c:ptCount val="1"/>
                <c:pt idx="0">
                  <c:v>0.22727272727272727</c:v>
                </c:pt>
              </c:numCache>
            </c:numRef>
          </c:val>
          <c:extLst>
            <c:ext xmlns:c16="http://schemas.microsoft.com/office/drawing/2014/chart" uri="{C3380CC4-5D6E-409C-BE32-E72D297353CC}">
              <c16:uniqueId val="{00000004-CA1C-442B-93A9-E678DFBC285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
          <c:y val="3.2941166298852465E-2"/>
          <c:w val="0.45657234321704548"/>
          <c:h val="9.2647678663678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Dashboard.xlsx]Model!Inspection1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s>
    <c:plotArea>
      <c:layout>
        <c:manualLayout>
          <c:layoutTarget val="inner"/>
          <c:xMode val="edge"/>
          <c:yMode val="edge"/>
          <c:x val="6.385544066790444E-2"/>
          <c:y val="6.0185185185185182E-2"/>
          <c:w val="0.90634535368707347"/>
          <c:h val="0.84204505686789155"/>
        </c:manualLayout>
      </c:layout>
      <c:barChart>
        <c:barDir val="col"/>
        <c:grouping val="clustered"/>
        <c:varyColors val="0"/>
        <c:ser>
          <c:idx val="0"/>
          <c:order val="0"/>
          <c:tx>
            <c:strRef>
              <c:f>Model!$T$16</c:f>
              <c:strCache>
                <c:ptCount val="1"/>
                <c:pt idx="0">
                  <c:v>Total</c:v>
                </c:pt>
              </c:strCache>
            </c:strRef>
          </c:tx>
          <c:spPr>
            <a:solidFill>
              <a:schemeClr val="tx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1-B34B-4712-AA98-595E57B2353E}"/>
              </c:ext>
            </c:extLst>
          </c:dPt>
          <c:dPt>
            <c:idx val="1"/>
            <c:invertIfNegative val="0"/>
            <c:bubble3D val="0"/>
            <c:extLst>
              <c:ext xmlns:c16="http://schemas.microsoft.com/office/drawing/2014/chart" uri="{C3380CC4-5D6E-409C-BE32-E72D297353CC}">
                <c16:uniqueId val="{00000001-53A9-4D9E-A168-E60C360C10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Model!$S$17:$S$18</c:f>
              <c:strCache>
                <c:ptCount val="1"/>
                <c:pt idx="0">
                  <c:v>Yes</c:v>
                </c:pt>
              </c:strCache>
            </c:strRef>
          </c:cat>
          <c:val>
            <c:numRef>
              <c:f>Model!$T$17:$T$18</c:f>
              <c:numCache>
                <c:formatCode>0.0%;\-0.0%;0.0%</c:formatCode>
                <c:ptCount val="1"/>
                <c:pt idx="0">
                  <c:v>0.38461538461538464</c:v>
                </c:pt>
              </c:numCache>
            </c:numRef>
          </c:val>
          <c:extLst>
            <c:ext xmlns:c16="http://schemas.microsoft.com/office/drawing/2014/chart" uri="{C3380CC4-5D6E-409C-BE32-E72D297353CC}">
              <c16:uniqueId val="{00000000-53A9-4D9E-A168-E60C360C10E4}"/>
            </c:ext>
          </c:extLst>
        </c:ser>
        <c:dLbls>
          <c:dLblPos val="outEnd"/>
          <c:showLegendKey val="0"/>
          <c:showVal val="1"/>
          <c:showCatName val="0"/>
          <c:showSerName val="0"/>
          <c:showPercent val="0"/>
          <c:showBubbleSize val="0"/>
        </c:dLbls>
        <c:gapWidth val="219"/>
        <c:overlap val="-27"/>
        <c:axId val="1726929744"/>
        <c:axId val="1726930704"/>
      </c:barChart>
      <c:catAx>
        <c:axId val="172692974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bg2">
                    <a:lumMod val="75000"/>
                  </a:schemeClr>
                </a:solidFill>
                <a:latin typeface="+mn-lt"/>
                <a:ea typeface="+mn-ea"/>
                <a:cs typeface="+mn-cs"/>
              </a:defRPr>
            </a:pPr>
            <a:endParaRPr lang="en-US"/>
          </a:p>
        </c:txPr>
        <c:crossAx val="1726930704"/>
        <c:crosses val="autoZero"/>
        <c:auto val="1"/>
        <c:lblAlgn val="ctr"/>
        <c:lblOffset val="100"/>
        <c:noMultiLvlLbl val="0"/>
      </c:catAx>
      <c:valAx>
        <c:axId val="1726930704"/>
        <c:scaling>
          <c:orientation val="minMax"/>
        </c:scaling>
        <c:delete val="1"/>
        <c:axPos val="l"/>
        <c:numFmt formatCode="0.0%;\-0.0%;0.0%" sourceLinked="1"/>
        <c:majorTickMark val="none"/>
        <c:minorTickMark val="none"/>
        <c:tickLblPos val="nextTo"/>
        <c:crossAx val="1726929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Dashboard.xlsx]Model!Propertylocation</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02730897493959"/>
          <c:y val="6.1908150764288024E-2"/>
          <c:w val="0.5687969475247171"/>
          <c:h val="0.79359062058768048"/>
        </c:manualLayout>
      </c:layout>
      <c:barChart>
        <c:barDir val="bar"/>
        <c:grouping val="percentStacked"/>
        <c:varyColors val="0"/>
        <c:ser>
          <c:idx val="0"/>
          <c:order val="0"/>
          <c:tx>
            <c:strRef>
              <c:f>Model!$P$16</c:f>
              <c:strCache>
                <c:ptCount val="1"/>
                <c:pt idx="0">
                  <c:v>Clients</c:v>
                </c:pt>
              </c:strCache>
            </c:strRef>
          </c:tx>
          <c:spPr>
            <a:solidFill>
              <a:schemeClr val="accent5">
                <a:lumMod val="75000"/>
              </a:schemeClr>
            </a:solidFill>
            <a:ln>
              <a:noFill/>
            </a:ln>
            <a:effectLst/>
          </c:spPr>
          <c:invertIfNegative val="0"/>
          <c:cat>
            <c:multiLvlStrRef>
              <c:f>Model!$O$17:$O$24</c:f>
              <c:multiLvlStrCache>
                <c:ptCount val="4"/>
                <c:lvl>
                  <c:pt idx="0">
                    <c:v>Lagos</c:v>
                  </c:pt>
                  <c:pt idx="1">
                    <c:v>Rivers</c:v>
                  </c:pt>
                  <c:pt idx="2">
                    <c:v>Lagos</c:v>
                  </c:pt>
                  <c:pt idx="3">
                    <c:v>Lagos</c:v>
                  </c:pt>
                </c:lvl>
                <c:lvl>
                  <c:pt idx="0">
                    <c:v>Commercial</c:v>
                  </c:pt>
                  <c:pt idx="2">
                    <c:v>Industrial</c:v>
                  </c:pt>
                  <c:pt idx="3">
                    <c:v>Residential</c:v>
                  </c:pt>
                </c:lvl>
              </c:multiLvlStrCache>
            </c:multiLvlStrRef>
          </c:cat>
          <c:val>
            <c:numRef>
              <c:f>Model!$P$17:$P$24</c:f>
              <c:numCache>
                <c:formatCode>#,##0</c:formatCode>
                <c:ptCount val="4"/>
                <c:pt idx="1">
                  <c:v>4</c:v>
                </c:pt>
                <c:pt idx="3">
                  <c:v>1</c:v>
                </c:pt>
              </c:numCache>
            </c:numRef>
          </c:val>
          <c:extLst>
            <c:ext xmlns:c16="http://schemas.microsoft.com/office/drawing/2014/chart" uri="{C3380CC4-5D6E-409C-BE32-E72D297353CC}">
              <c16:uniqueId val="{00000000-EA37-4E3D-9A9B-C76245DC13C8}"/>
            </c:ext>
          </c:extLst>
        </c:ser>
        <c:ser>
          <c:idx val="1"/>
          <c:order val="1"/>
          <c:tx>
            <c:strRef>
              <c:f>Model!$Q$16</c:f>
              <c:strCache>
                <c:ptCount val="1"/>
                <c:pt idx="0">
                  <c:v>Lead</c:v>
                </c:pt>
              </c:strCache>
            </c:strRef>
          </c:tx>
          <c:spPr>
            <a:solidFill>
              <a:schemeClr val="tx1"/>
            </a:solidFill>
            <a:ln>
              <a:solidFill>
                <a:schemeClr val="tx1"/>
              </a:solidFill>
            </a:ln>
            <a:effectLst/>
          </c:spPr>
          <c:invertIfNegative val="0"/>
          <c:cat>
            <c:multiLvlStrRef>
              <c:f>Model!$O$17:$O$24</c:f>
              <c:multiLvlStrCache>
                <c:ptCount val="4"/>
                <c:lvl>
                  <c:pt idx="0">
                    <c:v>Lagos</c:v>
                  </c:pt>
                  <c:pt idx="1">
                    <c:v>Rivers</c:v>
                  </c:pt>
                  <c:pt idx="2">
                    <c:v>Lagos</c:v>
                  </c:pt>
                  <c:pt idx="3">
                    <c:v>Lagos</c:v>
                  </c:pt>
                </c:lvl>
                <c:lvl>
                  <c:pt idx="0">
                    <c:v>Commercial</c:v>
                  </c:pt>
                  <c:pt idx="2">
                    <c:v>Industrial</c:v>
                  </c:pt>
                  <c:pt idx="3">
                    <c:v>Residential</c:v>
                  </c:pt>
                </c:lvl>
              </c:multiLvlStrCache>
            </c:multiLvlStrRef>
          </c:cat>
          <c:val>
            <c:numRef>
              <c:f>Model!$Q$17:$Q$24</c:f>
              <c:numCache>
                <c:formatCode>#,##0</c:formatCode>
                <c:ptCount val="4"/>
                <c:pt idx="0">
                  <c:v>7</c:v>
                </c:pt>
                <c:pt idx="1">
                  <c:v>5</c:v>
                </c:pt>
                <c:pt idx="2">
                  <c:v>9</c:v>
                </c:pt>
                <c:pt idx="3">
                  <c:v>1</c:v>
                </c:pt>
              </c:numCache>
            </c:numRef>
          </c:val>
          <c:extLst>
            <c:ext xmlns:c16="http://schemas.microsoft.com/office/drawing/2014/chart" uri="{C3380CC4-5D6E-409C-BE32-E72D297353CC}">
              <c16:uniqueId val="{00000001-EA37-4E3D-9A9B-C76245DC13C8}"/>
            </c:ext>
          </c:extLst>
        </c:ser>
        <c:dLbls>
          <c:showLegendKey val="0"/>
          <c:showVal val="0"/>
          <c:showCatName val="0"/>
          <c:showSerName val="0"/>
          <c:showPercent val="0"/>
          <c:showBubbleSize val="0"/>
        </c:dLbls>
        <c:gapWidth val="150"/>
        <c:overlap val="100"/>
        <c:axId val="876266176"/>
        <c:axId val="876248416"/>
      </c:barChart>
      <c:catAx>
        <c:axId val="876266176"/>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76248416"/>
        <c:crosses val="autoZero"/>
        <c:auto val="1"/>
        <c:lblAlgn val="ctr"/>
        <c:lblOffset val="100"/>
        <c:noMultiLvlLbl val="0"/>
      </c:catAx>
      <c:valAx>
        <c:axId val="8762484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626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b="1" i="0" baseline="0">
          <a:solidFill>
            <a:schemeClr val="tx1">
              <a:lumMod val="65000"/>
              <a:lumOff val="3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13</xdr:col>
      <xdr:colOff>27215</xdr:colOff>
      <xdr:row>8</xdr:row>
      <xdr:rowOff>154215</xdr:rowOff>
    </xdr:from>
    <xdr:to>
      <xdr:col>18</xdr:col>
      <xdr:colOff>2458358</xdr:colOff>
      <xdr:row>20</xdr:row>
      <xdr:rowOff>99785</xdr:rowOff>
    </xdr:to>
    <xdr:graphicFrame macro="">
      <xdr:nvGraphicFramePr>
        <xdr:cNvPr id="2" name="Chart 1">
          <a:extLst>
            <a:ext uri="{FF2B5EF4-FFF2-40B4-BE49-F238E27FC236}">
              <a16:creationId xmlns:a16="http://schemas.microsoft.com/office/drawing/2014/main" id="{3A6E970B-E8FD-4824-AD0A-31FC07C85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63500</xdr:colOff>
      <xdr:row>22</xdr:row>
      <xdr:rowOff>90714</xdr:rowOff>
    </xdr:from>
    <xdr:to>
      <xdr:col>11</xdr:col>
      <xdr:colOff>747059</xdr:colOff>
      <xdr:row>36</xdr:row>
      <xdr:rowOff>154215</xdr:rowOff>
    </xdr:to>
    <xdr:graphicFrame macro="">
      <xdr:nvGraphicFramePr>
        <xdr:cNvPr id="3" name="Chart 2">
          <a:extLst>
            <a:ext uri="{FF2B5EF4-FFF2-40B4-BE49-F238E27FC236}">
              <a16:creationId xmlns:a16="http://schemas.microsoft.com/office/drawing/2014/main" id="{82A496E2-D461-4F5A-9A16-904E413B4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72572</xdr:colOff>
      <xdr:row>22</xdr:row>
      <xdr:rowOff>145141</xdr:rowOff>
    </xdr:from>
    <xdr:to>
      <xdr:col>7</xdr:col>
      <xdr:colOff>816427</xdr:colOff>
      <xdr:row>36</xdr:row>
      <xdr:rowOff>179293</xdr:rowOff>
    </xdr:to>
    <xdr:graphicFrame macro="">
      <xdr:nvGraphicFramePr>
        <xdr:cNvPr id="4" name="Chart 3">
          <a:extLst>
            <a:ext uri="{FF2B5EF4-FFF2-40B4-BE49-F238E27FC236}">
              <a16:creationId xmlns:a16="http://schemas.microsoft.com/office/drawing/2014/main" id="{EB8FE15F-AF02-4826-BA36-CDB80E8BE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268940</xdr:colOff>
      <xdr:row>23</xdr:row>
      <xdr:rowOff>168348</xdr:rowOff>
    </xdr:from>
    <xdr:to>
      <xdr:col>18</xdr:col>
      <xdr:colOff>2495176</xdr:colOff>
      <xdr:row>36</xdr:row>
      <xdr:rowOff>156881</xdr:rowOff>
    </xdr:to>
    <xdr:graphicFrame macro="">
      <xdr:nvGraphicFramePr>
        <xdr:cNvPr id="6" name="Chart 5">
          <a:extLst>
            <a:ext uri="{FF2B5EF4-FFF2-40B4-BE49-F238E27FC236}">
              <a16:creationId xmlns:a16="http://schemas.microsoft.com/office/drawing/2014/main" id="{DDE7E6A0-E973-4D7D-8A14-205AB4695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288226</xdr:colOff>
      <xdr:row>22</xdr:row>
      <xdr:rowOff>181031</xdr:rowOff>
    </xdr:from>
    <xdr:to>
      <xdr:col>3</xdr:col>
      <xdr:colOff>594520</xdr:colOff>
      <xdr:row>28</xdr:row>
      <xdr:rowOff>61503</xdr:rowOff>
    </xdr:to>
    <xdr:pic>
      <xdr:nvPicPr>
        <xdr:cNvPr id="7" name="Picture 6">
          <a:extLst>
            <a:ext uri="{FF2B5EF4-FFF2-40B4-BE49-F238E27FC236}">
              <a16:creationId xmlns:a16="http://schemas.microsoft.com/office/drawing/2014/main" id="{598EAC01-42E0-47A6-9CC5-8518A568427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29993" y="4168240"/>
          <a:ext cx="2060667" cy="990115"/>
        </a:xfrm>
        <a:prstGeom prst="rect">
          <a:avLst/>
        </a:prstGeom>
      </xdr:spPr>
    </xdr:pic>
    <xdr:clientData/>
  </xdr:twoCellAnchor>
  <xdr:twoCellAnchor editAs="oneCell">
    <xdr:from>
      <xdr:col>1</xdr:col>
      <xdr:colOff>380999</xdr:colOff>
      <xdr:row>29</xdr:row>
      <xdr:rowOff>171823</xdr:rowOff>
    </xdr:from>
    <xdr:to>
      <xdr:col>3</xdr:col>
      <xdr:colOff>430052</xdr:colOff>
      <xdr:row>34</xdr:row>
      <xdr:rowOff>164352</xdr:rowOff>
    </xdr:to>
    <xdr:pic>
      <xdr:nvPicPr>
        <xdr:cNvPr id="8" name="Picture 7">
          <a:extLst>
            <a:ext uri="{FF2B5EF4-FFF2-40B4-BE49-F238E27FC236}">
              <a16:creationId xmlns:a16="http://schemas.microsoft.com/office/drawing/2014/main" id="{F21253F2-F714-4731-B733-8A25E74F80D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22940" y="5251823"/>
          <a:ext cx="1797171" cy="889000"/>
        </a:xfrm>
        <a:prstGeom prst="rect">
          <a:avLst/>
        </a:prstGeom>
      </xdr:spPr>
    </xdr:pic>
    <xdr:clientData/>
  </xdr:twoCellAnchor>
  <xdr:twoCellAnchor editAs="oneCell">
    <xdr:from>
      <xdr:col>1</xdr:col>
      <xdr:colOff>136732</xdr:colOff>
      <xdr:row>9</xdr:row>
      <xdr:rowOff>42729</xdr:rowOff>
    </xdr:from>
    <xdr:to>
      <xdr:col>3</xdr:col>
      <xdr:colOff>213644</xdr:colOff>
      <xdr:row>20</xdr:row>
      <xdr:rowOff>121066</xdr:rowOff>
    </xdr:to>
    <mc:AlternateContent xmlns:mc="http://schemas.openxmlformats.org/markup-compatibility/2006" xmlns:a14="http://schemas.microsoft.com/office/drawing/2010/main">
      <mc:Choice Requires="a14">
        <xdr:graphicFrame macro="">
          <xdr:nvGraphicFramePr>
            <xdr:cNvPr id="5" name="Sales Person">
              <a:extLst>
                <a:ext uri="{FF2B5EF4-FFF2-40B4-BE49-F238E27FC236}">
                  <a16:creationId xmlns:a16="http://schemas.microsoft.com/office/drawing/2014/main" id="{EE4EFE13-137C-3E6B-F0CE-6429B79AD439}"/>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280665" y="1786862"/>
              <a:ext cx="1837979" cy="2093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223581</xdr:colOff>
      <xdr:row>21</xdr:row>
      <xdr:rowOff>147315</xdr:rowOff>
    </xdr:from>
    <xdr:to>
      <xdr:col>7</xdr:col>
      <xdr:colOff>572536</xdr:colOff>
      <xdr:row>24</xdr:row>
      <xdr:rowOff>92908</xdr:rowOff>
    </xdr:to>
    <mc:AlternateContent xmlns:mc="http://schemas.openxmlformats.org/markup-compatibility/2006" xmlns:a14="http://schemas.microsoft.com/office/drawing/2010/main">
      <mc:Choice Requires="a14">
        <xdr:graphicFrame macro="">
          <xdr:nvGraphicFramePr>
            <xdr:cNvPr id="9" name="Inspection Icon">
              <a:extLst>
                <a:ext uri="{FF2B5EF4-FFF2-40B4-BE49-F238E27FC236}">
                  <a16:creationId xmlns:a16="http://schemas.microsoft.com/office/drawing/2014/main" id="{1ED1B7AF-E171-E170-F9E2-72EC7F189C76}"/>
                </a:ext>
              </a:extLst>
            </xdr:cNvPr>
            <xdr:cNvGraphicFramePr/>
          </xdr:nvGraphicFramePr>
          <xdr:xfrm>
            <a:off x="0" y="0"/>
            <a:ext cx="0" cy="0"/>
          </xdr:xfrm>
          <a:graphic>
            <a:graphicData uri="http://schemas.microsoft.com/office/drawing/2010/slicer">
              <sle:slicer xmlns:sle="http://schemas.microsoft.com/office/drawing/2010/slicer" name="Inspection Icon"/>
            </a:graphicData>
          </a:graphic>
        </xdr:graphicFrame>
      </mc:Choice>
      <mc:Fallback xmlns="">
        <xdr:sp macro="" textlink="">
          <xdr:nvSpPr>
            <xdr:cNvPr id="0" name=""/>
            <xdr:cNvSpPr>
              <a:spLocks noTextEdit="1"/>
            </xdr:cNvSpPr>
          </xdr:nvSpPr>
          <xdr:spPr>
            <a:xfrm>
              <a:off x="4033581" y="4092782"/>
              <a:ext cx="1229488" cy="402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787252</xdr:colOff>
      <xdr:row>5</xdr:row>
      <xdr:rowOff>132907</xdr:rowOff>
    </xdr:from>
    <xdr:to>
      <xdr:col>19</xdr:col>
      <xdr:colOff>2463</xdr:colOff>
      <xdr:row>8</xdr:row>
      <xdr:rowOff>62022</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0CC58646-81A4-D0F4-5E27-50144E65A4D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219119" y="1165840"/>
              <a:ext cx="1831411" cy="454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640935</xdr:colOff>
      <xdr:row>22</xdr:row>
      <xdr:rowOff>42729</xdr:rowOff>
    </xdr:from>
    <xdr:to>
      <xdr:col>11</xdr:col>
      <xdr:colOff>826094</xdr:colOff>
      <xdr:row>24</xdr:row>
      <xdr:rowOff>153194</xdr:rowOff>
    </xdr:to>
    <mc:AlternateContent xmlns:mc="http://schemas.openxmlformats.org/markup-compatibility/2006" xmlns:a14="http://schemas.microsoft.com/office/drawing/2010/main">
      <mc:Choice Requires="a14">
        <xdr:graphicFrame macro="">
          <xdr:nvGraphicFramePr>
            <xdr:cNvPr id="11" name="Gender Icon">
              <a:extLst>
                <a:ext uri="{FF2B5EF4-FFF2-40B4-BE49-F238E27FC236}">
                  <a16:creationId xmlns:a16="http://schemas.microsoft.com/office/drawing/2014/main" id="{ECA8FC45-EE9D-0C25-9E25-891A493F3713}"/>
                </a:ext>
              </a:extLst>
            </xdr:cNvPr>
            <xdr:cNvGraphicFramePr/>
          </xdr:nvGraphicFramePr>
          <xdr:xfrm>
            <a:off x="0" y="0"/>
            <a:ext cx="0" cy="0"/>
          </xdr:xfrm>
          <a:graphic>
            <a:graphicData uri="http://schemas.microsoft.com/office/drawing/2010/slicer">
              <sle:slicer xmlns:sle="http://schemas.microsoft.com/office/drawing/2010/slicer" name="Gender Icon"/>
            </a:graphicData>
          </a:graphic>
        </xdr:graphicFrame>
      </mc:Choice>
      <mc:Fallback xmlns="">
        <xdr:sp macro="" textlink="">
          <xdr:nvSpPr>
            <xdr:cNvPr id="0" name=""/>
            <xdr:cNvSpPr>
              <a:spLocks noTextEdit="1"/>
            </xdr:cNvSpPr>
          </xdr:nvSpPr>
          <xdr:spPr>
            <a:xfrm>
              <a:off x="7236468" y="4140596"/>
              <a:ext cx="1065693" cy="415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847458</xdr:colOff>
      <xdr:row>7</xdr:row>
      <xdr:rowOff>138586</xdr:rowOff>
    </xdr:from>
    <xdr:to>
      <xdr:col>18</xdr:col>
      <xdr:colOff>2495444</xdr:colOff>
      <xdr:row>10</xdr:row>
      <xdr:rowOff>7124</xdr:rowOff>
    </xdr:to>
    <mc:AlternateContent xmlns:mc="http://schemas.openxmlformats.org/markup-compatibility/2006" xmlns:a14="http://schemas.microsoft.com/office/drawing/2010/main">
      <mc:Choice Requires="a14">
        <xdr:graphicFrame macro="">
          <xdr:nvGraphicFramePr>
            <xdr:cNvPr id="12" name="Product Icon">
              <a:extLst>
                <a:ext uri="{FF2B5EF4-FFF2-40B4-BE49-F238E27FC236}">
                  <a16:creationId xmlns:a16="http://schemas.microsoft.com/office/drawing/2014/main" id="{EC6AA518-CF72-25CC-BF35-760EDAD46C12}"/>
                </a:ext>
              </a:extLst>
            </xdr:cNvPr>
            <xdr:cNvGraphicFramePr/>
          </xdr:nvGraphicFramePr>
          <xdr:xfrm>
            <a:off x="0" y="0"/>
            <a:ext cx="0" cy="0"/>
          </xdr:xfrm>
          <a:graphic>
            <a:graphicData uri="http://schemas.microsoft.com/office/drawing/2010/slicer">
              <sle:slicer xmlns:sle="http://schemas.microsoft.com/office/drawing/2010/slicer" name="Product Icon"/>
            </a:graphicData>
          </a:graphic>
        </xdr:graphicFrame>
      </mc:Choice>
      <mc:Fallback xmlns="">
        <xdr:sp macro="" textlink="">
          <xdr:nvSpPr>
            <xdr:cNvPr id="0" name=""/>
            <xdr:cNvSpPr>
              <a:spLocks noTextEdit="1"/>
            </xdr:cNvSpPr>
          </xdr:nvSpPr>
          <xdr:spPr>
            <a:xfrm>
              <a:off x="10279325" y="1544053"/>
              <a:ext cx="1647986" cy="393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115186</xdr:colOff>
      <xdr:row>7</xdr:row>
      <xdr:rowOff>8860</xdr:rowOff>
    </xdr:from>
    <xdr:to>
      <xdr:col>3</xdr:col>
      <xdr:colOff>797441</xdr:colOff>
      <xdr:row>7</xdr:row>
      <xdr:rowOff>26581</xdr:rowOff>
    </xdr:to>
    <xdr:cxnSp macro="">
      <xdr:nvCxnSpPr>
        <xdr:cNvPr id="14" name="Straight Connector 13">
          <a:extLst>
            <a:ext uri="{FF2B5EF4-FFF2-40B4-BE49-F238E27FC236}">
              <a16:creationId xmlns:a16="http://schemas.microsoft.com/office/drawing/2014/main" id="{3D1DA0EA-AE7B-0976-9169-E9A9A797872F}"/>
            </a:ext>
          </a:extLst>
        </xdr:cNvPr>
        <xdr:cNvCxnSpPr/>
      </xdr:nvCxnSpPr>
      <xdr:spPr>
        <a:xfrm>
          <a:off x="256953" y="1302488"/>
          <a:ext cx="2436628" cy="1772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115186</xdr:colOff>
      <xdr:row>21</xdr:row>
      <xdr:rowOff>0</xdr:rowOff>
    </xdr:from>
    <xdr:to>
      <xdr:col>3</xdr:col>
      <xdr:colOff>797441</xdr:colOff>
      <xdr:row>21</xdr:row>
      <xdr:rowOff>17721</xdr:rowOff>
    </xdr:to>
    <xdr:cxnSp macro="">
      <xdr:nvCxnSpPr>
        <xdr:cNvPr id="15" name="Straight Connector 14">
          <a:extLst>
            <a:ext uri="{FF2B5EF4-FFF2-40B4-BE49-F238E27FC236}">
              <a16:creationId xmlns:a16="http://schemas.microsoft.com/office/drawing/2014/main" id="{C06AC342-427E-4183-B300-E1B5BD7D5D5B}"/>
            </a:ext>
          </a:extLst>
        </xdr:cNvPr>
        <xdr:cNvCxnSpPr/>
      </xdr:nvCxnSpPr>
      <xdr:spPr>
        <a:xfrm>
          <a:off x="256953" y="3827721"/>
          <a:ext cx="2436628" cy="1772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115186</xdr:colOff>
      <xdr:row>28</xdr:row>
      <xdr:rowOff>115187</xdr:rowOff>
    </xdr:from>
    <xdr:to>
      <xdr:col>3</xdr:col>
      <xdr:colOff>797441</xdr:colOff>
      <xdr:row>28</xdr:row>
      <xdr:rowOff>132908</xdr:rowOff>
    </xdr:to>
    <xdr:cxnSp macro="">
      <xdr:nvCxnSpPr>
        <xdr:cNvPr id="16" name="Straight Connector 15">
          <a:extLst>
            <a:ext uri="{FF2B5EF4-FFF2-40B4-BE49-F238E27FC236}">
              <a16:creationId xmlns:a16="http://schemas.microsoft.com/office/drawing/2014/main" id="{7F0E4238-E0EA-4288-8094-B310A204796F}"/>
            </a:ext>
          </a:extLst>
        </xdr:cNvPr>
        <xdr:cNvCxnSpPr/>
      </xdr:nvCxnSpPr>
      <xdr:spPr>
        <a:xfrm>
          <a:off x="256953" y="5209954"/>
          <a:ext cx="2436628" cy="1772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123652</xdr:colOff>
      <xdr:row>4</xdr:row>
      <xdr:rowOff>65962</xdr:rowOff>
    </xdr:from>
    <xdr:to>
      <xdr:col>18</xdr:col>
      <xdr:colOff>2595722</xdr:colOff>
      <xdr:row>4</xdr:row>
      <xdr:rowOff>74823</xdr:rowOff>
    </xdr:to>
    <xdr:cxnSp macro="">
      <xdr:nvCxnSpPr>
        <xdr:cNvPr id="24" name="Straight Connector 23">
          <a:extLst>
            <a:ext uri="{FF2B5EF4-FFF2-40B4-BE49-F238E27FC236}">
              <a16:creationId xmlns:a16="http://schemas.microsoft.com/office/drawing/2014/main" id="{CDEE9F12-4B6D-8DEC-CB7E-44BABCEF6604}"/>
            </a:ext>
          </a:extLst>
        </xdr:cNvPr>
        <xdr:cNvCxnSpPr/>
      </xdr:nvCxnSpPr>
      <xdr:spPr>
        <a:xfrm flipV="1">
          <a:off x="2909185" y="921095"/>
          <a:ext cx="9118404" cy="8861"/>
        </a:xfrm>
        <a:prstGeom prst="line">
          <a:avLst/>
        </a:prstGeom>
        <a:ln>
          <a:solidFill>
            <a:schemeClr val="bg2">
              <a:lumMod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7</xdr:col>
      <xdr:colOff>35442</xdr:colOff>
      <xdr:row>8</xdr:row>
      <xdr:rowOff>115185</xdr:rowOff>
    </xdr:from>
    <xdr:to>
      <xdr:col>7</xdr:col>
      <xdr:colOff>584082</xdr:colOff>
      <xdr:row>11</xdr:row>
      <xdr:rowOff>105616</xdr:rowOff>
    </xdr:to>
    <xdr:pic>
      <xdr:nvPicPr>
        <xdr:cNvPr id="27" name="Graphic 26" descr="Stopwatch with solid fill">
          <a:extLst>
            <a:ext uri="{FF2B5EF4-FFF2-40B4-BE49-F238E27FC236}">
              <a16:creationId xmlns:a16="http://schemas.microsoft.com/office/drawing/2014/main" id="{41D452A3-4AEE-53C9-E98C-4B9F5A6F57E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04907" y="1559441"/>
          <a:ext cx="548640" cy="548640"/>
        </a:xfrm>
        <a:prstGeom prst="rect">
          <a:avLst/>
        </a:prstGeom>
      </xdr:spPr>
    </xdr:pic>
    <xdr:clientData/>
  </xdr:twoCellAnchor>
  <xdr:twoCellAnchor editAs="oneCell">
    <xdr:from>
      <xdr:col>6</xdr:col>
      <xdr:colOff>858839</xdr:colOff>
      <xdr:row>15</xdr:row>
      <xdr:rowOff>43675</xdr:rowOff>
    </xdr:from>
    <xdr:to>
      <xdr:col>7</xdr:col>
      <xdr:colOff>530293</xdr:colOff>
      <xdr:row>18</xdr:row>
      <xdr:rowOff>34105</xdr:rowOff>
    </xdr:to>
    <xdr:pic>
      <xdr:nvPicPr>
        <xdr:cNvPr id="29" name="Graphic 28" descr="Target Audience with solid fill">
          <a:extLst>
            <a:ext uri="{FF2B5EF4-FFF2-40B4-BE49-F238E27FC236}">
              <a16:creationId xmlns:a16="http://schemas.microsoft.com/office/drawing/2014/main" id="{D23B8E33-3DAC-DFDA-FD56-0E8D412CE66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51118" y="2754977"/>
          <a:ext cx="548640" cy="548640"/>
        </a:xfrm>
        <a:prstGeom prst="rect">
          <a:avLst/>
        </a:prstGeom>
      </xdr:spPr>
    </xdr:pic>
    <xdr:clientData/>
  </xdr:twoCellAnchor>
  <xdr:twoCellAnchor editAs="oneCell">
    <xdr:from>
      <xdr:col>10</xdr:col>
      <xdr:colOff>845179</xdr:colOff>
      <xdr:row>8</xdr:row>
      <xdr:rowOff>67196</xdr:rowOff>
    </xdr:from>
    <xdr:to>
      <xdr:col>11</xdr:col>
      <xdr:colOff>516633</xdr:colOff>
      <xdr:row>11</xdr:row>
      <xdr:rowOff>57627</xdr:rowOff>
    </xdr:to>
    <xdr:pic>
      <xdr:nvPicPr>
        <xdr:cNvPr id="31" name="Graphic 30" descr="Handshake with solid fill">
          <a:extLst>
            <a:ext uri="{FF2B5EF4-FFF2-40B4-BE49-F238E27FC236}">
              <a16:creationId xmlns:a16="http://schemas.microsoft.com/office/drawing/2014/main" id="{503D9774-9485-881E-5DF1-BF458109774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89414" y="1464196"/>
          <a:ext cx="545513" cy="528313"/>
        </a:xfrm>
        <a:prstGeom prst="rect">
          <a:avLst/>
        </a:prstGeom>
      </xdr:spPr>
    </xdr:pic>
    <xdr:clientData/>
  </xdr:twoCellAnchor>
  <xdr:twoCellAnchor editAs="oneCell">
    <xdr:from>
      <xdr:col>10</xdr:col>
      <xdr:colOff>839687</xdr:colOff>
      <xdr:row>14</xdr:row>
      <xdr:rowOff>147875</xdr:rowOff>
    </xdr:from>
    <xdr:to>
      <xdr:col>11</xdr:col>
      <xdr:colOff>511141</xdr:colOff>
      <xdr:row>17</xdr:row>
      <xdr:rowOff>168189</xdr:rowOff>
    </xdr:to>
    <xdr:pic>
      <xdr:nvPicPr>
        <xdr:cNvPr id="33" name="Graphic 32" descr="Money with solid fill">
          <a:extLst>
            <a:ext uri="{FF2B5EF4-FFF2-40B4-BE49-F238E27FC236}">
              <a16:creationId xmlns:a16="http://schemas.microsoft.com/office/drawing/2014/main" id="{5B2F65E9-07F0-A867-F2EF-7E46DFBB9ED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383922" y="2620640"/>
          <a:ext cx="545513" cy="528313"/>
        </a:xfrm>
        <a:prstGeom prst="rect">
          <a:avLst/>
        </a:prstGeom>
      </xdr:spPr>
    </xdr:pic>
    <xdr:clientData/>
  </xdr:twoCellAnchor>
  <xdr:twoCellAnchor editAs="oneCell">
    <xdr:from>
      <xdr:col>1</xdr:col>
      <xdr:colOff>262467</xdr:colOff>
      <xdr:row>2</xdr:row>
      <xdr:rowOff>67734</xdr:rowOff>
    </xdr:from>
    <xdr:to>
      <xdr:col>2</xdr:col>
      <xdr:colOff>143933</xdr:colOff>
      <xdr:row>5</xdr:row>
      <xdr:rowOff>50800</xdr:rowOff>
    </xdr:to>
    <xdr:pic>
      <xdr:nvPicPr>
        <xdr:cNvPr id="35" name="Graphic 34" descr="Building with solid fill">
          <a:extLst>
            <a:ext uri="{FF2B5EF4-FFF2-40B4-BE49-F238E27FC236}">
              <a16:creationId xmlns:a16="http://schemas.microsoft.com/office/drawing/2014/main" id="{287CB600-23EA-6860-0C3C-A889EEF08E1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06400" y="440267"/>
          <a:ext cx="762000" cy="643466"/>
        </a:xfrm>
        <a:prstGeom prst="rect">
          <a:avLst/>
        </a:prstGeom>
      </xdr:spPr>
    </xdr:pic>
    <xdr:clientData/>
  </xdr:twoCellAnchor>
  <xdr:twoCellAnchor editAs="oneCell">
    <xdr:from>
      <xdr:col>18</xdr:col>
      <xdr:colOff>2065866</xdr:colOff>
      <xdr:row>1</xdr:row>
      <xdr:rowOff>110067</xdr:rowOff>
    </xdr:from>
    <xdr:to>
      <xdr:col>18</xdr:col>
      <xdr:colOff>2480733</xdr:colOff>
      <xdr:row>2</xdr:row>
      <xdr:rowOff>262467</xdr:rowOff>
    </xdr:to>
    <xdr:pic>
      <xdr:nvPicPr>
        <xdr:cNvPr id="37" name="Picture 36">
          <a:extLst>
            <a:ext uri="{FF2B5EF4-FFF2-40B4-BE49-F238E27FC236}">
              <a16:creationId xmlns:a16="http://schemas.microsoft.com/office/drawing/2014/main" id="{D72F594B-39A1-E383-2D22-2BD1119A105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497733" y="296334"/>
          <a:ext cx="414867" cy="33866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9.622572569446" backgroundQuery="1" createdVersion="8" refreshedVersion="8" minRefreshableVersion="3" recordCount="0" supportSubquery="1" supportAdvancedDrill="1" xr:uid="{2436B435-B1F3-4037-8173-954946239DD3}">
  <cacheSource type="external" connectionId="2"/>
  <cacheFields count="2">
    <cacheField name="[Measures].[Conversion Rate %]" caption="Conversion Rate %" numFmtId="0" hierarchy="14" level="32767"/>
    <cacheField name="[Data].[Product].[Product]" caption="Product" numFmtId="0" hierarchy="6" level="1">
      <sharedItems count="2">
        <s v="Commercial"/>
        <s v="Residential"/>
      </sharedItems>
    </cacheField>
  </cacheFields>
  <cacheHierarchies count="20">
    <cacheHierarchy uniqueName="[Data].[Client ID]" caption="Client ID" attribute="1" defaultMemberUniqueName="[Data].[Client ID].[All]" allUniqueName="[Data].[Client ID].[All]" dimensionUniqueName="[Data]" displayFolder="" count="0" memberValueDatatype="130" unbalanced="0"/>
    <cacheHierarchy uniqueName="[Data].[Client Gender]" caption="Client Gender" attribute="1" defaultMemberUniqueName="[Data].[Client Gender].[All]" allUniqueName="[Data].[Client Gender].[All]" dimensionUniqueName="[Data]" displayFolder="" count="0" memberValueDatatype="130" unbalanced="0"/>
    <cacheHierarchy uniqueName="[Data].[Sales Person]" caption="Sales Person" attribute="1" defaultMemberUniqueName="[Data].[Sales Person].[All]" allUniqueName="[Data].[Sales Person].[All]" dimensionUniqueName="[Data]" displayFolder="" count="0" memberValueDatatype="130" unbalanced="0"/>
    <cacheHierarchy uniqueName="[Data].[Date Given]" caption="Date Given" attribute="1" defaultMemberUniqueName="[Data].[Date Given].[All]" allUniqueName="[Data].[Date Given].[All]" dimensionUniqueName="[Data]" displayFolder="" count="0" memberValueDatatype="130" unbalanced="0"/>
    <cacheHierarchy uniqueName="[Data].[Sales]" caption="Sales" attribute="1" defaultMemberUniqueName="[Data].[Sales].[All]" allUniqueName="[Data].[Sales].[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1"/>
      </fieldsUsage>
    </cacheHierarchy>
    <cacheHierarchy uniqueName="[Data].[Inspection]" caption="Inspection" attribute="1" defaultMemberUniqueName="[Data].[Inspection].[All]" allUniqueName="[Data].[Inspection].[All]" dimensionUniqueName="[Data]" displayFolder="" count="0" memberValueDatatype="130" unbalanced="0"/>
    <cacheHierarchy uniqueName="[Data].[Payment Status]" caption="Payment Status" attribute="1" defaultMemberUniqueName="[Data].[Payment Status].[All]" allUniqueName="[Data].[Payment Status].[All]" dimensionUniqueName="[Data]" displayFolder="" count="0" memberValueDatatype="130" unbalanced="0"/>
    <cacheHierarchy uniqueName="[Data].[Gender Icon]" caption="Gender Icon" attribute="1" defaultMemberUniqueName="[Data].[Gender Icon].[All]" allUniqueName="[Data].[Gender Icon].[All]" dimensionUniqueName="[Data]" displayFolder="" count="0" memberValueDatatype="130" unbalanced="0"/>
    <cacheHierarchy uniqueName="[Data].[Inspection Icon]" caption="Inspection Icon" attribute="1" defaultMemberUniqueName="[Data].[Inspection Icon].[All]" allUniqueName="[Data].[Inspection Icon].[All]" dimensionUniqueName="[Data]" displayFolder="" count="0" memberValueDatatype="130" unbalanced="0"/>
    <cacheHierarchy uniqueName="[Data].[Product Icon]" caption="Product Icon" attribute="1" defaultMemberUniqueName="[Data].[Product Icon].[All]" allUniqueName="[Data].[Product Icon].[All]" dimensionUniqueName="[Data]" displayFolder="" count="0" memberValueDatatype="130" unbalanced="0"/>
    <cacheHierarchy uniqueName="[Measures].[Lead]" caption="Lead" measure="1" displayFolder="" measureGroup="Data" count="0"/>
    <cacheHierarchy uniqueName="[Measures].[Clients]" caption="Clients" measure="1" displayFolder="" measureGroup="Data" count="0"/>
    <cacheHierarchy uniqueName="[Measures].[Conversion Rate %]" caption="Conversion Rate %" measure="1" displayFolder="" measureGroup="Data" count="0" oneField="1">
      <fieldsUsage count="1">
        <fieldUsage x="0"/>
      </fieldsUsage>
    </cacheHierarchy>
    <cacheHierarchy uniqueName="[Measures].[Pending ]" caption="Pending " measure="1" displayFolder="" measureGroup="Data" count="0"/>
    <cacheHierarchy uniqueName="[Measures].[Pending Conversion rate%]" caption="Pending Conversion rate%"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9.624979976848" backgroundQuery="1" createdVersion="8" refreshedVersion="8" minRefreshableVersion="3" recordCount="0" supportSubquery="1" supportAdvancedDrill="1" xr:uid="{1C2C43C5-D154-4382-A4FB-7BA9E6E42F5E}">
  <cacheSource type="external" connectionId="2"/>
  <cacheFields count="3">
    <cacheField name="[Measures].[Lead]" caption="Lead" numFmtId="0" hierarchy="12" level="32767"/>
    <cacheField name="[Measures].[Clients]" caption="Clients" numFmtId="0" hierarchy="13" level="32767"/>
    <cacheField name="[Data].[State].[State]" caption="State" numFmtId="0" hierarchy="5" level="1">
      <sharedItems count="2">
        <s v="Lagos"/>
        <s v="Rivers"/>
      </sharedItems>
    </cacheField>
  </cacheFields>
  <cacheHierarchies count="20">
    <cacheHierarchy uniqueName="[Data].[Client ID]" caption="Client ID" attribute="1" defaultMemberUniqueName="[Data].[Client ID].[All]" allUniqueName="[Data].[Client ID].[All]" dimensionUniqueName="[Data]" displayFolder="" count="0" memberValueDatatype="130" unbalanced="0"/>
    <cacheHierarchy uniqueName="[Data].[Client Gender]" caption="Client Gender" attribute="1" defaultMemberUniqueName="[Data].[Client Gender].[All]" allUniqueName="[Data].[Client Gender].[All]" dimensionUniqueName="[Data]" displayFolder="" count="0" memberValueDatatype="130" unbalanced="0"/>
    <cacheHierarchy uniqueName="[Data].[Sales Person]" caption="Sales Person" attribute="1" defaultMemberUniqueName="[Data].[Sales Person].[All]" allUniqueName="[Data].[Sales Person].[All]" dimensionUniqueName="[Data]" displayFolder="" count="0" memberValueDatatype="130" unbalanced="0"/>
    <cacheHierarchy uniqueName="[Data].[Date Given]" caption="Date Given" attribute="1" defaultMemberUniqueName="[Data].[Date Given].[All]" allUniqueName="[Data].[Date Given].[All]" dimensionUniqueName="[Data]" displayFolder="" count="0" memberValueDatatype="130" unbalanced="0"/>
    <cacheHierarchy uniqueName="[Data].[Sales]" caption="Sales" attribute="1" defaultMemberUniqueName="[Data].[Sales].[All]" allUniqueName="[Data].[Sales].[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0" memberValueDatatype="130" unbalanced="0"/>
    <cacheHierarchy uniqueName="[Data].[Inspection]" caption="Inspection" attribute="1" defaultMemberUniqueName="[Data].[Inspection].[All]" allUniqueName="[Data].[Inspection].[All]" dimensionUniqueName="[Data]" displayFolder="" count="0" memberValueDatatype="130" unbalanced="0"/>
    <cacheHierarchy uniqueName="[Data].[Payment Status]" caption="Payment Status" attribute="1" defaultMemberUniqueName="[Data].[Payment Status].[All]" allUniqueName="[Data].[Payment Status].[All]" dimensionUniqueName="[Data]" displayFolder="" count="0" memberValueDatatype="130" unbalanced="0"/>
    <cacheHierarchy uniqueName="[Data].[Gender Icon]" caption="Gender Icon" attribute="1" defaultMemberUniqueName="[Data].[Gender Icon].[All]" allUniqueName="[Data].[Gender Icon].[All]" dimensionUniqueName="[Data]" displayFolder="" count="0" memberValueDatatype="130" unbalanced="0"/>
    <cacheHierarchy uniqueName="[Data].[Inspection Icon]" caption="Inspection Icon" attribute="1" defaultMemberUniqueName="[Data].[Inspection Icon].[All]" allUniqueName="[Data].[Inspection Icon].[All]" dimensionUniqueName="[Data]" displayFolder="" count="0" memberValueDatatype="130" unbalanced="0"/>
    <cacheHierarchy uniqueName="[Data].[Product Icon]" caption="Product Icon" attribute="1" defaultMemberUniqueName="[Data].[Product Icon].[All]" allUniqueName="[Data].[Product Icon].[All]" dimensionUniqueName="[Data]" displayFolder="" count="0" memberValueDatatype="130" unbalanced="0"/>
    <cacheHierarchy uniqueName="[Measures].[Lead]" caption="Lead" measure="1" displayFolder="" measureGroup="Data" count="0" oneField="1">
      <fieldsUsage count="1">
        <fieldUsage x="0"/>
      </fieldsUsage>
    </cacheHierarchy>
    <cacheHierarchy uniqueName="[Measures].[Clients]" caption="Clients" measure="1" displayFolder="" measureGroup="Data" count="0" oneField="1">
      <fieldsUsage count="1">
        <fieldUsage x="1"/>
      </fieldsUsage>
    </cacheHierarchy>
    <cacheHierarchy uniqueName="[Measures].[Conversion Rate %]" caption="Conversion Rate %" measure="1" displayFolder="" measureGroup="Data" count="0"/>
    <cacheHierarchy uniqueName="[Measures].[Pending ]" caption="Pending " measure="1" displayFolder="" measureGroup="Data" count="0"/>
    <cacheHierarchy uniqueName="[Measures].[Pending Conversion rate%]" caption="Pending Conversion rate%"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9.623820486115" backgroundQuery="1" createdVersion="8" refreshedVersion="8" minRefreshableVersion="3" recordCount="0" supportSubquery="1" supportAdvancedDrill="1" xr:uid="{5107BEEA-A6B4-40BF-BF3C-09C2A714790C}">
  <cacheSource type="external" connectionId="2"/>
  <cacheFields count="3">
    <cacheField name="[Measures].[Lead]" caption="Lead" numFmtId="0" hierarchy="12" level="32767"/>
    <cacheField name="[Measures].[Clients]" caption="Clients" numFmtId="0" hierarchy="13" level="32767"/>
    <cacheField name="[Data].[Inspection].[Inspection]" caption="Inspection" numFmtId="0" hierarchy="7" level="1">
      <sharedItems count="2">
        <s v="No"/>
        <s v="Yes"/>
      </sharedItems>
    </cacheField>
  </cacheFields>
  <cacheHierarchies count="20">
    <cacheHierarchy uniqueName="[Data].[Client ID]" caption="Client ID" attribute="1" defaultMemberUniqueName="[Data].[Client ID].[All]" allUniqueName="[Data].[Client ID].[All]" dimensionUniqueName="[Data]" displayFolder="" count="0" memberValueDatatype="130" unbalanced="0"/>
    <cacheHierarchy uniqueName="[Data].[Client Gender]" caption="Client Gender" attribute="1" defaultMemberUniqueName="[Data].[Client Gender].[All]" allUniqueName="[Data].[Client Gender].[All]" dimensionUniqueName="[Data]" displayFolder="" count="0" memberValueDatatype="130" unbalanced="0"/>
    <cacheHierarchy uniqueName="[Data].[Sales Person]" caption="Sales Person" attribute="1" defaultMemberUniqueName="[Data].[Sales Person].[All]" allUniqueName="[Data].[Sales Person].[All]" dimensionUniqueName="[Data]" displayFolder="" count="0" memberValueDatatype="130" unbalanced="0"/>
    <cacheHierarchy uniqueName="[Data].[Date Given]" caption="Date Given" attribute="1" defaultMemberUniqueName="[Data].[Date Given].[All]" allUniqueName="[Data].[Date Given].[All]" dimensionUniqueName="[Data]" displayFolder="" count="0" memberValueDatatype="130" unbalanced="0"/>
    <cacheHierarchy uniqueName="[Data].[Sales]" caption="Sales" attribute="1" defaultMemberUniqueName="[Data].[Sales].[All]" allUniqueName="[Data].[Sales].[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Inspection]" caption="Inspection" attribute="1" defaultMemberUniqueName="[Data].[Inspection].[All]" allUniqueName="[Data].[Inspection].[All]" dimensionUniqueName="[Data]" displayFolder="" count="2" memberValueDatatype="130" unbalanced="0">
      <fieldsUsage count="2">
        <fieldUsage x="-1"/>
        <fieldUsage x="2"/>
      </fieldsUsage>
    </cacheHierarchy>
    <cacheHierarchy uniqueName="[Data].[Payment Status]" caption="Payment Status" attribute="1" defaultMemberUniqueName="[Data].[Payment Status].[All]" allUniqueName="[Data].[Payment Status].[All]" dimensionUniqueName="[Data]" displayFolder="" count="0" memberValueDatatype="130" unbalanced="0"/>
    <cacheHierarchy uniqueName="[Data].[Gender Icon]" caption="Gender Icon" attribute="1" defaultMemberUniqueName="[Data].[Gender Icon].[All]" allUniqueName="[Data].[Gender Icon].[All]" dimensionUniqueName="[Data]" displayFolder="" count="0" memberValueDatatype="130" unbalanced="0"/>
    <cacheHierarchy uniqueName="[Data].[Inspection Icon]" caption="Inspection Icon" attribute="1" defaultMemberUniqueName="[Data].[Inspection Icon].[All]" allUniqueName="[Data].[Inspection Icon].[All]" dimensionUniqueName="[Data]" displayFolder="" count="0" memberValueDatatype="130" unbalanced="0"/>
    <cacheHierarchy uniqueName="[Data].[Product Icon]" caption="Product Icon" attribute="1" defaultMemberUniqueName="[Data].[Product Icon].[All]" allUniqueName="[Data].[Product Icon].[All]" dimensionUniqueName="[Data]" displayFolder="" count="0" memberValueDatatype="130" unbalanced="0"/>
    <cacheHierarchy uniqueName="[Measures].[Lead]" caption="Lead" measure="1" displayFolder="" measureGroup="Data" count="0" oneField="1">
      <fieldsUsage count="1">
        <fieldUsage x="0"/>
      </fieldsUsage>
    </cacheHierarchy>
    <cacheHierarchy uniqueName="[Measures].[Clients]" caption="Clients" measure="1" displayFolder="" measureGroup="Data" count="0" oneField="1">
      <fieldsUsage count="1">
        <fieldUsage x="1"/>
      </fieldsUsage>
    </cacheHierarchy>
    <cacheHierarchy uniqueName="[Measures].[Conversion Rate %]" caption="Conversion Rate %" measure="1" displayFolder="" measureGroup="Data" count="0"/>
    <cacheHierarchy uniqueName="[Measures].[Pending ]" caption="Pending " measure="1" displayFolder="" measureGroup="Data" count="0"/>
    <cacheHierarchy uniqueName="[Measures].[Pending Conversion rate%]" caption="Pending Conversion rate%"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9.617653356479" backgroundQuery="1" createdVersion="8" refreshedVersion="8" minRefreshableVersion="3" recordCount="0" supportSubquery="1" supportAdvancedDrill="1" xr:uid="{BC600A47-8DCB-4A52-9911-6C4B0558180F}">
  <cacheSource type="external" connectionId="2"/>
  <cacheFields count="3">
    <cacheField name="[Measures].[Lead]" caption="Lead" numFmtId="0" hierarchy="12" level="32767"/>
    <cacheField name="[Measures].[Clients]" caption="Clients" numFmtId="0" hierarchy="13" level="32767"/>
    <cacheField name="[Data].[Client Gender].[Client Gender]" caption="Client Gender" numFmtId="0" hierarchy="1" level="1">
      <sharedItems count="2">
        <s v="Female"/>
        <s v="Male"/>
      </sharedItems>
    </cacheField>
  </cacheFields>
  <cacheHierarchies count="20">
    <cacheHierarchy uniqueName="[Data].[Client ID]" caption="Client ID" attribute="1" defaultMemberUniqueName="[Data].[Client ID].[All]" allUniqueName="[Data].[Client ID].[All]" dimensionUniqueName="[Data]" displayFolder="" count="0" memberValueDatatype="130" unbalanced="0"/>
    <cacheHierarchy uniqueName="[Data].[Client Gender]" caption="Client Gender" attribute="1" defaultMemberUniqueName="[Data].[Client Gender].[All]" allUniqueName="[Data].[Client Gender].[All]" dimensionUniqueName="[Data]" displayFolder="" count="2" memberValueDatatype="130" unbalanced="0">
      <fieldsUsage count="2">
        <fieldUsage x="-1"/>
        <fieldUsage x="2"/>
      </fieldsUsage>
    </cacheHierarchy>
    <cacheHierarchy uniqueName="[Data].[Sales Person]" caption="Sales Person" attribute="1" defaultMemberUniqueName="[Data].[Sales Person].[All]" allUniqueName="[Data].[Sales Person].[All]" dimensionUniqueName="[Data]" displayFolder="" count="0" memberValueDatatype="130" unbalanced="0"/>
    <cacheHierarchy uniqueName="[Data].[Date Given]" caption="Date Given" attribute="1" defaultMemberUniqueName="[Data].[Date Given].[All]" allUniqueName="[Data].[Date Given].[All]" dimensionUniqueName="[Data]" displayFolder="" count="0" memberValueDatatype="130" unbalanced="0"/>
    <cacheHierarchy uniqueName="[Data].[Sales]" caption="Sales" attribute="1" defaultMemberUniqueName="[Data].[Sales].[All]" allUniqueName="[Data].[Sales].[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Inspection]" caption="Inspection" attribute="1" defaultMemberUniqueName="[Data].[Inspection].[All]" allUniqueName="[Data].[Inspection].[All]" dimensionUniqueName="[Data]" displayFolder="" count="0" memberValueDatatype="130" unbalanced="0"/>
    <cacheHierarchy uniqueName="[Data].[Payment Status]" caption="Payment Status" attribute="1" defaultMemberUniqueName="[Data].[Payment Status].[All]" allUniqueName="[Data].[Payment Status].[All]" dimensionUniqueName="[Data]" displayFolder="" count="0" memberValueDatatype="130" unbalanced="0"/>
    <cacheHierarchy uniqueName="[Data].[Gender Icon]" caption="Gender Icon" attribute="1" defaultMemberUniqueName="[Data].[Gender Icon].[All]" allUniqueName="[Data].[Gender Icon].[All]" dimensionUniqueName="[Data]" displayFolder="" count="0" memberValueDatatype="130" unbalanced="0"/>
    <cacheHierarchy uniqueName="[Data].[Inspection Icon]" caption="Inspection Icon" attribute="1" defaultMemberUniqueName="[Data].[Inspection Icon].[All]" allUniqueName="[Data].[Inspection Icon].[All]" dimensionUniqueName="[Data]" displayFolder="" count="0" memberValueDatatype="130" unbalanced="0"/>
    <cacheHierarchy uniqueName="[Data].[Product Icon]" caption="Product Icon" attribute="1" defaultMemberUniqueName="[Data].[Product Icon].[All]" allUniqueName="[Data].[Product Icon].[All]" dimensionUniqueName="[Data]" displayFolder="" count="0" memberValueDatatype="130" unbalanced="0"/>
    <cacheHierarchy uniqueName="[Measures].[Lead]" caption="Lead" measure="1" displayFolder="" measureGroup="Data" count="0" oneField="1">
      <fieldsUsage count="1">
        <fieldUsage x="0"/>
      </fieldsUsage>
    </cacheHierarchy>
    <cacheHierarchy uniqueName="[Measures].[Clients]" caption="Clients" measure="1" displayFolder="" measureGroup="Data" count="0" oneField="1">
      <fieldsUsage count="1">
        <fieldUsage x="1"/>
      </fieldsUsage>
    </cacheHierarchy>
    <cacheHierarchy uniqueName="[Measures].[Conversion Rate %]" caption="Conversion Rate %" measure="1" displayFolder="" measureGroup="Data" count="0"/>
    <cacheHierarchy uniqueName="[Measures].[Pending ]" caption="Pending " measure="1" displayFolder="" measureGroup="Data" count="0"/>
    <cacheHierarchy uniqueName="[Measures].[Pending Conversion rate%]" caption="Pending Conversion rate%"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9.615494675927" backgroundQuery="1" createdVersion="8" refreshedVersion="8" minRefreshableVersion="3" recordCount="0" supportSubquery="1" supportAdvancedDrill="1" xr:uid="{859F0F12-A337-4416-9BEC-E344384EFA4F}">
  <cacheSource type="external" connectionId="2"/>
  <cacheFields count="2">
    <cacheField name="[Data].[Sales Person].[Sales Person]" caption="Sales Person" numFmtId="0" hierarchy="2" level="1">
      <sharedItems count="6">
        <s v="Ahmed"/>
        <s v="Chioma"/>
        <s v="Chukwudi"/>
        <s v="Funmi"/>
        <s v="Ngozi"/>
        <s v="Olumide"/>
      </sharedItems>
    </cacheField>
    <cacheField name="[Measures].[Conversion Rate %]" caption="Conversion Rate %" numFmtId="0" hierarchy="14" level="32767"/>
  </cacheFields>
  <cacheHierarchies count="20">
    <cacheHierarchy uniqueName="[Data].[Client ID]" caption="Client ID" attribute="1" defaultMemberUniqueName="[Data].[Client ID].[All]" allUniqueName="[Data].[Client ID].[All]" dimensionUniqueName="[Data]" displayFolder="" count="0" memberValueDatatype="130" unbalanced="0"/>
    <cacheHierarchy uniqueName="[Data].[Client Gender]" caption="Client Gender" attribute="1" defaultMemberUniqueName="[Data].[Client Gender].[All]" allUniqueName="[Data].[Client Gender].[All]" dimensionUniqueName="[Data]" displayFolder="" count="0" memberValueDatatype="130" unbalanced="0"/>
    <cacheHierarchy uniqueName="[Data].[Sales Person]" caption="Sales Person" attribute="1" defaultMemberUniqueName="[Data].[Sales Person].[All]" allUniqueName="[Data].[Sales Person].[All]" dimensionUniqueName="[Data]" displayFolder="" count="2" memberValueDatatype="130" unbalanced="0">
      <fieldsUsage count="2">
        <fieldUsage x="-1"/>
        <fieldUsage x="0"/>
      </fieldsUsage>
    </cacheHierarchy>
    <cacheHierarchy uniqueName="[Data].[Date Given]" caption="Date Given" attribute="1" defaultMemberUniqueName="[Data].[Date Given].[All]" allUniqueName="[Data].[Date Given].[All]" dimensionUniqueName="[Data]" displayFolder="" count="0" memberValueDatatype="130" unbalanced="0"/>
    <cacheHierarchy uniqueName="[Data].[Sales]" caption="Sales" attribute="1" defaultMemberUniqueName="[Data].[Sales].[All]" allUniqueName="[Data].[Sales].[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Inspection]" caption="Inspection" attribute="1" defaultMemberUniqueName="[Data].[Inspection].[All]" allUniqueName="[Data].[Inspection].[All]" dimensionUniqueName="[Data]" displayFolder="" count="0" memberValueDatatype="130" unbalanced="0"/>
    <cacheHierarchy uniqueName="[Data].[Payment Status]" caption="Payment Status" attribute="1" defaultMemberUniqueName="[Data].[Payment Status].[All]" allUniqueName="[Data].[Payment Status].[All]" dimensionUniqueName="[Data]" displayFolder="" count="0" memberValueDatatype="130" unbalanced="0"/>
    <cacheHierarchy uniqueName="[Data].[Gender Icon]" caption="Gender Icon" attribute="1" defaultMemberUniqueName="[Data].[Gender Icon].[All]" allUniqueName="[Data].[Gender Icon].[All]" dimensionUniqueName="[Data]" displayFolder="" count="0" memberValueDatatype="130" unbalanced="0"/>
    <cacheHierarchy uniqueName="[Data].[Inspection Icon]" caption="Inspection Icon" attribute="1" defaultMemberUniqueName="[Data].[Inspection Icon].[All]" allUniqueName="[Data].[Inspection Icon].[All]" dimensionUniqueName="[Data]" displayFolder="" count="0" memberValueDatatype="130" unbalanced="0"/>
    <cacheHierarchy uniqueName="[Data].[Product Icon]" caption="Product Icon" attribute="1" defaultMemberUniqueName="[Data].[Product Icon].[All]" allUniqueName="[Data].[Product Icon].[All]" dimensionUniqueName="[Data]" displayFolder="" count="0" memberValueDatatype="130" unbalanced="0"/>
    <cacheHierarchy uniqueName="[Measures].[Lead]" caption="Lead" measure="1" displayFolder="" measureGroup="Data" count="0"/>
    <cacheHierarchy uniqueName="[Measures].[Clients]" caption="Clients" measure="1" displayFolder="" measureGroup="Data" count="0"/>
    <cacheHierarchy uniqueName="[Measures].[Conversion Rate %]" caption="Conversion Rate %" measure="1" displayFolder="" measureGroup="Data" count="0" oneField="1">
      <fieldsUsage count="1">
        <fieldUsage x="1"/>
      </fieldsUsage>
    </cacheHierarchy>
    <cacheHierarchy uniqueName="[Measures].[Pending ]" caption="Pending " measure="1" displayFolder="" measureGroup="Data" count="0"/>
    <cacheHierarchy uniqueName="[Measures].[Pending Conversion rate%]" caption="Pending Conversion rate%"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1.745376851854" backgroundQuery="1" createdVersion="8" refreshedVersion="8" minRefreshableVersion="3" recordCount="0" supportSubquery="1" supportAdvancedDrill="1" xr:uid="{6D0DD0E8-C739-409D-AB38-D08FA4C8728A}">
  <cacheSource type="external" connectionId="2"/>
  <cacheFields count="4">
    <cacheField name="[Measures].[Lead]" caption="Lead" numFmtId="0" hierarchy="12" level="32767"/>
    <cacheField name="[Measures].[Clients]" caption="Clients" numFmtId="0" hierarchy="13" level="32767"/>
    <cacheField name="[Data].[Sales Person].[Sales Person]" caption="Sales Person" numFmtId="0" hierarchy="2" level="1">
      <sharedItems count="6">
        <s v="Ahmed"/>
        <s v="Chioma"/>
        <s v="Chukwudi"/>
        <s v="Funmi"/>
        <s v="Ngozi"/>
        <s v="Olumide"/>
      </sharedItems>
    </cacheField>
    <cacheField name="[Data].[State].[State]" caption="State" numFmtId="0" hierarchy="5" level="1">
      <sharedItems containsSemiMixedTypes="0" containsNonDate="0" containsString="0"/>
    </cacheField>
  </cacheFields>
  <cacheHierarchies count="20">
    <cacheHierarchy uniqueName="[Data].[Client ID]" caption="Client ID" attribute="1" defaultMemberUniqueName="[Data].[Client ID].[All]" allUniqueName="[Data].[Client ID].[All]" dimensionUniqueName="[Data]" displayFolder="" count="0" memberValueDatatype="130" unbalanced="0"/>
    <cacheHierarchy uniqueName="[Data].[Client Gender]" caption="Client Gender" attribute="1" defaultMemberUniqueName="[Data].[Client Gender].[All]" allUniqueName="[Data].[Client Gender].[All]" dimensionUniqueName="[Data]" displayFolder="" count="0" memberValueDatatype="130" unbalanced="0"/>
    <cacheHierarchy uniqueName="[Data].[Sales Person]" caption="Sales Person" attribute="1" defaultMemberUniqueName="[Data].[Sales Person].[All]" allUniqueName="[Data].[Sales Person].[All]" dimensionUniqueName="[Data]" displayFolder="" count="2" memberValueDatatype="130" unbalanced="0">
      <fieldsUsage count="2">
        <fieldUsage x="-1"/>
        <fieldUsage x="2"/>
      </fieldsUsage>
    </cacheHierarchy>
    <cacheHierarchy uniqueName="[Data].[Date Given]" caption="Date Given" attribute="1" defaultMemberUniqueName="[Data].[Date Given].[All]" allUniqueName="[Data].[Date Given].[All]" dimensionUniqueName="[Data]" displayFolder="" count="0" memberValueDatatype="130" unbalanced="0"/>
    <cacheHierarchy uniqueName="[Data].[Sales]" caption="Sales" attribute="1" defaultMemberUniqueName="[Data].[Sales].[All]" allUniqueName="[Data].[Sales].[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3"/>
      </fieldsUsage>
    </cacheHierarchy>
    <cacheHierarchy uniqueName="[Data].[Product]" caption="Product" attribute="1" defaultMemberUniqueName="[Data].[Product].[All]" allUniqueName="[Data].[Product].[All]" dimensionUniqueName="[Data]" displayFolder="" count="0" memberValueDatatype="130" unbalanced="0"/>
    <cacheHierarchy uniqueName="[Data].[Inspection]" caption="Inspection" attribute="1" defaultMemberUniqueName="[Data].[Inspection].[All]" allUniqueName="[Data].[Inspection].[All]" dimensionUniqueName="[Data]" displayFolder="" count="0" memberValueDatatype="130" unbalanced="0"/>
    <cacheHierarchy uniqueName="[Data].[Payment Status]" caption="Payment Status" attribute="1" defaultMemberUniqueName="[Data].[Payment Status].[All]" allUniqueName="[Data].[Payment Status].[All]" dimensionUniqueName="[Data]" displayFolder="" count="0" memberValueDatatype="130" unbalanced="0"/>
    <cacheHierarchy uniqueName="[Data].[Gender Icon]" caption="Gender Icon" attribute="1" defaultMemberUniqueName="[Data].[Gender Icon].[All]" allUniqueName="[Data].[Gender Icon].[All]" dimensionUniqueName="[Data]" displayFolder="" count="2" memberValueDatatype="130" unbalanced="0"/>
    <cacheHierarchy uniqueName="[Data].[Inspection Icon]" caption="Inspection Icon" attribute="1" defaultMemberUniqueName="[Data].[Inspection Icon].[All]" allUniqueName="[Data].[Inspection Icon].[All]" dimensionUniqueName="[Data]" displayFolder="" count="2" memberValueDatatype="130" unbalanced="0"/>
    <cacheHierarchy uniqueName="[Data].[Product Icon]" caption="Product Icon" attribute="1" defaultMemberUniqueName="[Data].[Product Icon].[All]" allUniqueName="[Data].[Product Icon].[All]" dimensionUniqueName="[Data]" displayFolder="" count="2" memberValueDatatype="130" unbalanced="0"/>
    <cacheHierarchy uniqueName="[Measures].[Lead]" caption="Lead" measure="1" displayFolder="" measureGroup="Data" count="0" oneField="1">
      <fieldsUsage count="1">
        <fieldUsage x="0"/>
      </fieldsUsage>
    </cacheHierarchy>
    <cacheHierarchy uniqueName="[Measures].[Clients]" caption="Clients" measure="1" displayFolder="" measureGroup="Data" count="0" oneField="1">
      <fieldsUsage count="1">
        <fieldUsage x="1"/>
      </fieldsUsage>
    </cacheHierarchy>
    <cacheHierarchy uniqueName="[Measures].[Conversion Rate %]" caption="Conversion Rate %" measure="1" displayFolder="" measureGroup="Data" count="0"/>
    <cacheHierarchy uniqueName="[Measures].[Pending ]" caption="Pending " measure="1" displayFolder="" measureGroup="Data" count="0"/>
    <cacheHierarchy uniqueName="[Measures].[Pending Conversion rate%]" caption="Pending Conversion rate%"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2.810056828705" backgroundQuery="1" createdVersion="8" refreshedVersion="8" minRefreshableVersion="3" recordCount="0" supportSubquery="1" supportAdvancedDrill="1" xr:uid="{A3967A73-671F-4D80-B414-D209F5E6D5A8}">
  <cacheSource type="external" connectionId="2"/>
  <cacheFields count="3">
    <cacheField name="[Measures].[Conversion Rate %]" caption="Conversion Rate %" numFmtId="0" hierarchy="14" level="32767"/>
    <cacheField name="[Data].[Inspection].[Inspection]" caption="Inspection" numFmtId="0" hierarchy="7" level="1">
      <sharedItems count="1">
        <s v="Yes"/>
      </sharedItems>
    </cacheField>
    <cacheField name="[Data].[Sales Person].[Sales Person]" caption="Sales Person" numFmtId="0" hierarchy="2" level="1">
      <sharedItems containsSemiMixedTypes="0" containsNonDate="0" containsString="0"/>
    </cacheField>
  </cacheFields>
  <cacheHierarchies count="20">
    <cacheHierarchy uniqueName="[Data].[Client ID]" caption="Client ID" attribute="1" defaultMemberUniqueName="[Data].[Client ID].[All]" allUniqueName="[Data].[Client ID].[All]" dimensionUniqueName="[Data]" displayFolder="" count="2" memberValueDatatype="130" unbalanced="0"/>
    <cacheHierarchy uniqueName="[Data].[Client Gender]" caption="Client Gender" attribute="1" defaultMemberUniqueName="[Data].[Client Gender].[All]" allUniqueName="[Data].[Client Gender].[All]" dimensionUniqueName="[Data]" displayFolder="" count="2" memberValueDatatype="130" unbalanced="0"/>
    <cacheHierarchy uniqueName="[Data].[Sales Person]" caption="Sales Person" attribute="1" defaultMemberUniqueName="[Data].[Sales Person].[All]" allUniqueName="[Data].[Sales Person].[All]" dimensionUniqueName="[Data]" displayFolder="" count="2" memberValueDatatype="130" unbalanced="0">
      <fieldsUsage count="2">
        <fieldUsage x="-1"/>
        <fieldUsage x="2"/>
      </fieldsUsage>
    </cacheHierarchy>
    <cacheHierarchy uniqueName="[Data].[Date Given]" caption="Date Given" attribute="1" defaultMemberUniqueName="[Data].[Date Given].[All]" allUniqueName="[Data].[Date Given].[All]" dimensionUniqueName="[Data]" displayFolder="" count="2" memberValueDatatype="130" unbalanced="0"/>
    <cacheHierarchy uniqueName="[Data].[Sales]" caption="Sales" attribute="1" defaultMemberUniqueName="[Data].[Sales].[All]" allUniqueName="[Data].[Sales].[All]" dimensionUniqueName="[Data]" displayFolder="" count="2" memberValueDatatype="130" unbalanced="0"/>
    <cacheHierarchy uniqueName="[Data].[State]" caption="State" attribute="1" defaultMemberUniqueName="[Data].[State].[All]" allUniqueName="[Data].[State].[All]" dimensionUniqueName="[Data]" displayFolder="" count="2" memberValueDatatype="130" unbalanced="0"/>
    <cacheHierarchy uniqueName="[Data].[Product]" caption="Product" attribute="1" defaultMemberUniqueName="[Data].[Product].[All]" allUniqueName="[Data].[Product].[All]" dimensionUniqueName="[Data]" displayFolder="" count="2" memberValueDatatype="130" unbalanced="0"/>
    <cacheHierarchy uniqueName="[Data].[Inspection]" caption="Inspection" attribute="1" defaultMemberUniqueName="[Data].[Inspection].[All]" allUniqueName="[Data].[Inspection].[All]" dimensionUniqueName="[Data]" displayFolder="" count="2" memberValueDatatype="130" unbalanced="0">
      <fieldsUsage count="2">
        <fieldUsage x="-1"/>
        <fieldUsage x="1"/>
      </fieldsUsage>
    </cacheHierarchy>
    <cacheHierarchy uniqueName="[Data].[Payment Status]" caption="Payment Status" attribute="1" defaultMemberUniqueName="[Data].[Payment Status].[All]" allUniqueName="[Data].[Payment Status].[All]" dimensionUniqueName="[Data]" displayFolder="" count="2" memberValueDatatype="130" unbalanced="0"/>
    <cacheHierarchy uniqueName="[Data].[Gender Icon]" caption="Gender Icon" attribute="1" defaultMemberUniqueName="[Data].[Gender Icon].[All]" allUniqueName="[Data].[Gender Icon].[All]" dimensionUniqueName="[Data]" displayFolder="" count="2" memberValueDatatype="130" unbalanced="0"/>
    <cacheHierarchy uniqueName="[Data].[Inspection Icon]" caption="Inspection Icon" attribute="1" defaultMemberUniqueName="[Data].[Inspection Icon].[All]" allUniqueName="[Data].[Inspection Icon].[All]" dimensionUniqueName="[Data]" displayFolder="" count="2" memberValueDatatype="130" unbalanced="0"/>
    <cacheHierarchy uniqueName="[Data].[Product Icon]" caption="Product Icon" attribute="1" defaultMemberUniqueName="[Data].[Product Icon].[All]" allUniqueName="[Data].[Product Icon].[All]" dimensionUniqueName="[Data]" displayFolder="" count="2" memberValueDatatype="130" unbalanced="0"/>
    <cacheHierarchy uniqueName="[Measures].[Lead]" caption="Lead" measure="1" displayFolder="" measureGroup="Data" count="0"/>
    <cacheHierarchy uniqueName="[Measures].[Clients]" caption="Clients" measure="1" displayFolder="" measureGroup="Data" count="0"/>
    <cacheHierarchy uniqueName="[Measures].[Conversion Rate %]" caption="Conversion Rate %" measure="1" displayFolder="" measureGroup="Data" count="0" oneField="1">
      <fieldsUsage count="1">
        <fieldUsage x="0"/>
      </fieldsUsage>
    </cacheHierarchy>
    <cacheHierarchy uniqueName="[Measures].[Pending ]" caption="Pending " measure="1" displayFolder="" measureGroup="Data" count="0"/>
    <cacheHierarchy uniqueName="[Measures].[Pending Conversion rate%]" caption="Pending Conversion rate%"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2.810057407405" backgroundQuery="1" createdVersion="8" refreshedVersion="8" minRefreshableVersion="3" recordCount="0" supportSubquery="1" supportAdvancedDrill="1" xr:uid="{6DB9AD63-5BD8-4F9C-9BBA-0DF856EFEFFA}">
  <cacheSource type="external" connectionId="2"/>
  <cacheFields count="3">
    <cacheField name="[Data].[Client Gender].[Client Gender]" caption="Client Gender" numFmtId="0" hierarchy="1" level="1">
      <sharedItems count="2">
        <s v="Female"/>
        <s v="Male" u="1"/>
      </sharedItems>
    </cacheField>
    <cacheField name="[Measures].[Conversion Rate %]" caption="Conversion Rate %" numFmtId="0" hierarchy="14" level="32767"/>
    <cacheField name="[Data].[Sales Person].[Sales Person]" caption="Sales Person" numFmtId="0" hierarchy="2" level="1">
      <sharedItems containsSemiMixedTypes="0" containsNonDate="0" containsString="0"/>
    </cacheField>
  </cacheFields>
  <cacheHierarchies count="20">
    <cacheHierarchy uniqueName="[Data].[Client ID]" caption="Client ID" attribute="1" defaultMemberUniqueName="[Data].[Client ID].[All]" allUniqueName="[Data].[Client ID].[All]" dimensionUniqueName="[Data]" displayFolder="" count="2" memberValueDatatype="130" unbalanced="0"/>
    <cacheHierarchy uniqueName="[Data].[Client Gender]" caption="Client Gender" attribute="1" defaultMemberUniqueName="[Data].[Client Gender].[All]" allUniqueName="[Data].[Client Gender].[All]" dimensionUniqueName="[Data]" displayFolder="" count="2" memberValueDatatype="130" unbalanced="0">
      <fieldsUsage count="2">
        <fieldUsage x="-1"/>
        <fieldUsage x="0"/>
      </fieldsUsage>
    </cacheHierarchy>
    <cacheHierarchy uniqueName="[Data].[Sales Person]" caption="Sales Person" attribute="1" defaultMemberUniqueName="[Data].[Sales Person].[All]" allUniqueName="[Data].[Sales Person].[All]" dimensionUniqueName="[Data]" displayFolder="" count="2" memberValueDatatype="130" unbalanced="0">
      <fieldsUsage count="2">
        <fieldUsage x="-1"/>
        <fieldUsage x="2"/>
      </fieldsUsage>
    </cacheHierarchy>
    <cacheHierarchy uniqueName="[Data].[Date Given]" caption="Date Given" attribute="1" defaultMemberUniqueName="[Data].[Date Given].[All]" allUniqueName="[Data].[Date Given].[All]" dimensionUniqueName="[Data]" displayFolder="" count="2" memberValueDatatype="130" unbalanced="0"/>
    <cacheHierarchy uniqueName="[Data].[Sales]" caption="Sales" attribute="1" defaultMemberUniqueName="[Data].[Sales].[All]" allUniqueName="[Data].[Sales].[All]" dimensionUniqueName="[Data]" displayFolder="" count="2" memberValueDatatype="130" unbalanced="0"/>
    <cacheHierarchy uniqueName="[Data].[State]" caption="State" attribute="1" defaultMemberUniqueName="[Data].[State].[All]" allUniqueName="[Data].[State].[All]" dimensionUniqueName="[Data]" displayFolder="" count="2" memberValueDatatype="130" unbalanced="0"/>
    <cacheHierarchy uniqueName="[Data].[Product]" caption="Product" attribute="1" defaultMemberUniqueName="[Data].[Product].[All]" allUniqueName="[Data].[Product].[All]" dimensionUniqueName="[Data]" displayFolder="" count="2" memberValueDatatype="130" unbalanced="0"/>
    <cacheHierarchy uniqueName="[Data].[Inspection]" caption="Inspection" attribute="1" defaultMemberUniqueName="[Data].[Inspection].[All]" allUniqueName="[Data].[Inspection].[All]" dimensionUniqueName="[Data]" displayFolder="" count="2" memberValueDatatype="130" unbalanced="0"/>
    <cacheHierarchy uniqueName="[Data].[Payment Status]" caption="Payment Status" attribute="1" defaultMemberUniqueName="[Data].[Payment Status].[All]" allUniqueName="[Data].[Payment Status].[All]" dimensionUniqueName="[Data]" displayFolder="" count="2" memberValueDatatype="130" unbalanced="0"/>
    <cacheHierarchy uniqueName="[Data].[Gender Icon]" caption="Gender Icon" attribute="1" defaultMemberUniqueName="[Data].[Gender Icon].[All]" allUniqueName="[Data].[Gender Icon].[All]" dimensionUniqueName="[Data]" displayFolder="" count="2" memberValueDatatype="130" unbalanced="0"/>
    <cacheHierarchy uniqueName="[Data].[Inspection Icon]" caption="Inspection Icon" attribute="1" defaultMemberUniqueName="[Data].[Inspection Icon].[All]" allUniqueName="[Data].[Inspection Icon].[All]" dimensionUniqueName="[Data]" displayFolder="" count="2" memberValueDatatype="130" unbalanced="0"/>
    <cacheHierarchy uniqueName="[Data].[Product Icon]" caption="Product Icon" attribute="1" defaultMemberUniqueName="[Data].[Product Icon].[All]" allUniqueName="[Data].[Product Icon].[All]" dimensionUniqueName="[Data]" displayFolder="" count="2" memberValueDatatype="130" unbalanced="0"/>
    <cacheHierarchy uniqueName="[Measures].[Lead]" caption="Lead" measure="1" displayFolder="" measureGroup="Data" count="0"/>
    <cacheHierarchy uniqueName="[Measures].[Clients]" caption="Clients" measure="1" displayFolder="" measureGroup="Data" count="0"/>
    <cacheHierarchy uniqueName="[Measures].[Conversion Rate %]" caption="Conversion Rate %" measure="1" displayFolder="" measureGroup="Data" count="0" oneField="1">
      <fieldsUsage count="1">
        <fieldUsage x="1"/>
      </fieldsUsage>
    </cacheHierarchy>
    <cacheHierarchy uniqueName="[Measures].[Pending ]" caption="Pending " measure="1" displayFolder="" measureGroup="Data" count="0"/>
    <cacheHierarchy uniqueName="[Measures].[Pending Conversion rate%]" caption="Pending Conversion rate%"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2.810058101852" backgroundQuery="1" createdVersion="8" refreshedVersion="8" minRefreshableVersion="3" recordCount="0" supportSubquery="1" supportAdvancedDrill="1" xr:uid="{4B5B3FF6-85B9-4855-B8FB-492388633C8E}">
  <cacheSource type="external" connectionId="2"/>
  <cacheFields count="5">
    <cacheField name="[Measures].[Lead]" caption="Lead" numFmtId="0" hierarchy="12" level="32767"/>
    <cacheField name="[Measures].[Clients]" caption="Clients" numFmtId="0" hierarchy="13" level="32767"/>
    <cacheField name="[Measures].[Conversion Rate %]" caption="Conversion Rate %" numFmtId="0" hierarchy="14" level="32767"/>
    <cacheField name="[Measures].[Pending ]" caption="Pending " numFmtId="0" hierarchy="15" level="32767"/>
    <cacheField name="[Data].[Sales Person].[Sales Person]" caption="Sales Person" numFmtId="0" hierarchy="2" level="1">
      <sharedItems containsSemiMixedTypes="0" containsNonDate="0" containsString="0"/>
    </cacheField>
  </cacheFields>
  <cacheHierarchies count="20">
    <cacheHierarchy uniqueName="[Data].[Client ID]" caption="Client ID" attribute="1" defaultMemberUniqueName="[Data].[Client ID].[All]" allUniqueName="[Data].[Client ID].[All]" dimensionUniqueName="[Data]" displayFolder="" count="0" memberValueDatatype="130" unbalanced="0"/>
    <cacheHierarchy uniqueName="[Data].[Client Gender]" caption="Client Gender" attribute="1" defaultMemberUniqueName="[Data].[Client Gender].[All]" allUniqueName="[Data].[Client Gender].[All]" dimensionUniqueName="[Data]" displayFolder="" count="0" memberValueDatatype="130" unbalanced="0"/>
    <cacheHierarchy uniqueName="[Data].[Sales Person]" caption="Sales Person" attribute="1" defaultMemberUniqueName="[Data].[Sales Person].[All]" allUniqueName="[Data].[Sales Person].[All]" dimensionUniqueName="[Data]" displayFolder="" count="2" memberValueDatatype="130" unbalanced="0">
      <fieldsUsage count="2">
        <fieldUsage x="-1"/>
        <fieldUsage x="4"/>
      </fieldsUsage>
    </cacheHierarchy>
    <cacheHierarchy uniqueName="[Data].[Date Given]" caption="Date Given" attribute="1" defaultMemberUniqueName="[Data].[Date Given].[All]" allUniqueName="[Data].[Date Given].[All]" dimensionUniqueName="[Data]" displayFolder="" count="0" memberValueDatatype="130" unbalanced="0"/>
    <cacheHierarchy uniqueName="[Data].[Sales]" caption="Sales" attribute="1" defaultMemberUniqueName="[Data].[Sales].[All]" allUniqueName="[Data].[Sales].[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Inspection]" caption="Inspection" attribute="1" defaultMemberUniqueName="[Data].[Inspection].[All]" allUniqueName="[Data].[Inspection].[All]" dimensionUniqueName="[Data]" displayFolder="" count="0" memberValueDatatype="130" unbalanced="0"/>
    <cacheHierarchy uniqueName="[Data].[Payment Status]" caption="Payment Status" attribute="1" defaultMemberUniqueName="[Data].[Payment Status].[All]" allUniqueName="[Data].[Payment Status].[All]" dimensionUniqueName="[Data]" displayFolder="" count="0" memberValueDatatype="130" unbalanced="0"/>
    <cacheHierarchy uniqueName="[Data].[Gender Icon]" caption="Gender Icon" attribute="1" defaultMemberUniqueName="[Data].[Gender Icon].[All]" allUniqueName="[Data].[Gender Icon].[All]" dimensionUniqueName="[Data]" displayFolder="" count="2" memberValueDatatype="130" unbalanced="0"/>
    <cacheHierarchy uniqueName="[Data].[Inspection Icon]" caption="Inspection Icon" attribute="1" defaultMemberUniqueName="[Data].[Inspection Icon].[All]" allUniqueName="[Data].[Inspection Icon].[All]" dimensionUniqueName="[Data]" displayFolder="" count="2" memberValueDatatype="130" unbalanced="0"/>
    <cacheHierarchy uniqueName="[Data].[Product Icon]" caption="Product Icon" attribute="1" defaultMemberUniqueName="[Data].[Product Icon].[All]" allUniqueName="[Data].[Product Icon].[All]" dimensionUniqueName="[Data]" displayFolder="" count="2" memberValueDatatype="130" unbalanced="0"/>
    <cacheHierarchy uniqueName="[Measures].[Lead]" caption="Lead" measure="1" displayFolder="" measureGroup="Data" count="0" oneField="1">
      <fieldsUsage count="1">
        <fieldUsage x="0"/>
      </fieldsUsage>
    </cacheHierarchy>
    <cacheHierarchy uniqueName="[Measures].[Clients]" caption="Clients" measure="1" displayFolder="" measureGroup="Data" count="0" oneField="1">
      <fieldsUsage count="1">
        <fieldUsage x="1"/>
      </fieldsUsage>
    </cacheHierarchy>
    <cacheHierarchy uniqueName="[Measures].[Conversion Rate %]" caption="Conversion Rate %" measure="1" displayFolder="" measureGroup="Data" count="0" oneField="1">
      <fieldsUsage count="1">
        <fieldUsage x="2"/>
      </fieldsUsage>
    </cacheHierarchy>
    <cacheHierarchy uniqueName="[Measures].[Pending ]" caption="Pending " measure="1" displayFolder="" measureGroup="Data" count="0" oneField="1">
      <fieldsUsage count="1">
        <fieldUsage x="3"/>
      </fieldsUsage>
    </cacheHierarchy>
    <cacheHierarchy uniqueName="[Measures].[Pending Conversion rate%]" caption="Pending Conversion rate%"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2.810058449075" backgroundQuery="1" createdVersion="8" refreshedVersion="8" minRefreshableVersion="3" recordCount="0" supportSubquery="1" supportAdvancedDrill="1" xr:uid="{8AE27200-4BE6-4B25-BA82-0463352C24AC}">
  <cacheSource type="external" connectionId="2"/>
  <cacheFields count="3">
    <cacheField name="[Measures].[Conversion Rate %]" caption="Conversion Rate %" numFmtId="0" hierarchy="14" level="32767"/>
    <cacheField name="[Data].[State].[State]" caption="State" numFmtId="0" hierarchy="5" level="1">
      <sharedItems count="2">
        <s v="Lagos"/>
        <s v="Rivers"/>
      </sharedItems>
    </cacheField>
    <cacheField name="[Data].[Sales Person].[Sales Person]" caption="Sales Person" numFmtId="0" hierarchy="2" level="1">
      <sharedItems containsSemiMixedTypes="0" containsNonDate="0" containsString="0"/>
    </cacheField>
  </cacheFields>
  <cacheHierarchies count="20">
    <cacheHierarchy uniqueName="[Data].[Client ID]" caption="Client ID" attribute="1" defaultMemberUniqueName="[Data].[Client ID].[All]" allUniqueName="[Data].[Client ID].[All]" dimensionUniqueName="[Data]" displayFolder="" count="0" memberValueDatatype="130" unbalanced="0"/>
    <cacheHierarchy uniqueName="[Data].[Client Gender]" caption="Client Gender" attribute="1" defaultMemberUniqueName="[Data].[Client Gender].[All]" allUniqueName="[Data].[Client Gender].[All]" dimensionUniqueName="[Data]" displayFolder="" count="0" memberValueDatatype="130" unbalanced="0"/>
    <cacheHierarchy uniqueName="[Data].[Sales Person]" caption="Sales Person" attribute="1" defaultMemberUniqueName="[Data].[Sales Person].[All]" allUniqueName="[Data].[Sales Person].[All]" dimensionUniqueName="[Data]" displayFolder="" count="2" memberValueDatatype="130" unbalanced="0">
      <fieldsUsage count="2">
        <fieldUsage x="-1"/>
        <fieldUsage x="2"/>
      </fieldsUsage>
    </cacheHierarchy>
    <cacheHierarchy uniqueName="[Data].[Date Given]" caption="Date Given" attribute="1" defaultMemberUniqueName="[Data].[Date Given].[All]" allUniqueName="[Data].[Date Given].[All]" dimensionUniqueName="[Data]" displayFolder="" count="0" memberValueDatatype="130" unbalanced="0"/>
    <cacheHierarchy uniqueName="[Data].[Sales]" caption="Sales" attribute="1" defaultMemberUniqueName="[Data].[Sales].[All]" allUniqueName="[Data].[Sales].[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Inspection]" caption="Inspection" attribute="1" defaultMemberUniqueName="[Data].[Inspection].[All]" allUniqueName="[Data].[Inspection].[All]" dimensionUniqueName="[Data]" displayFolder="" count="0" memberValueDatatype="130" unbalanced="0"/>
    <cacheHierarchy uniqueName="[Data].[Payment Status]" caption="Payment Status" attribute="1" defaultMemberUniqueName="[Data].[Payment Status].[All]" allUniqueName="[Data].[Payment Status].[All]" dimensionUniqueName="[Data]" displayFolder="" count="0" memberValueDatatype="130" unbalanced="0"/>
    <cacheHierarchy uniqueName="[Data].[Gender Icon]" caption="Gender Icon" attribute="1" defaultMemberUniqueName="[Data].[Gender Icon].[All]" allUniqueName="[Data].[Gender Icon].[All]" dimensionUniqueName="[Data]" displayFolder="" count="2" memberValueDatatype="130" unbalanced="0"/>
    <cacheHierarchy uniqueName="[Data].[Inspection Icon]" caption="Inspection Icon" attribute="1" defaultMemberUniqueName="[Data].[Inspection Icon].[All]" allUniqueName="[Data].[Inspection Icon].[All]" dimensionUniqueName="[Data]" displayFolder="" count="2" memberValueDatatype="130" unbalanced="0"/>
    <cacheHierarchy uniqueName="[Data].[Product Icon]" caption="Product Icon" attribute="1" defaultMemberUniqueName="[Data].[Product Icon].[All]" allUniqueName="[Data].[Product Icon].[All]" dimensionUniqueName="[Data]" displayFolder="" count="2" memberValueDatatype="130" unbalanced="0"/>
    <cacheHierarchy uniqueName="[Measures].[Lead]" caption="Lead" measure="1" displayFolder="" measureGroup="Data" count="0"/>
    <cacheHierarchy uniqueName="[Measures].[Clients]" caption="Clients" measure="1" displayFolder="" measureGroup="Data" count="0"/>
    <cacheHierarchy uniqueName="[Measures].[Conversion Rate %]" caption="Conversion Rate %" measure="1" displayFolder="" measureGroup="Data" count="0" oneField="1">
      <fieldsUsage count="1">
        <fieldUsage x="0"/>
      </fieldsUsage>
    </cacheHierarchy>
    <cacheHierarchy uniqueName="[Measures].[Pending ]" caption="Pending " measure="1" displayFolder="" measureGroup="Data" count="0"/>
    <cacheHierarchy uniqueName="[Measures].[Pending Conversion rate%]" caption="Pending Conversion rate%"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2.810059143521" backgroundQuery="1" createdVersion="8" refreshedVersion="8" minRefreshableVersion="3" recordCount="0" supportSubquery="1" supportAdvancedDrill="1" xr:uid="{C225EF5A-BAFD-443F-B1CB-DC94DF22B207}">
  <cacheSource type="external" connectionId="2"/>
  <cacheFields count="4">
    <cacheField name="[Data].[Product].[Product]" caption="Product" numFmtId="0" hierarchy="6" level="1">
      <sharedItems count="3">
        <s v="Commercial"/>
        <s v="Industrial"/>
        <s v="Residential"/>
      </sharedItems>
    </cacheField>
    <cacheField name="[Measures].[Conversion Rate %]" caption="Conversion Rate %" numFmtId="0" hierarchy="14" level="32767"/>
    <cacheField name="[Measures].[Pending Conversion rate%]" caption="Pending Conversion rate%" numFmtId="0" hierarchy="16" level="32767"/>
    <cacheField name="[Data].[Sales Person].[Sales Person]" caption="Sales Person" numFmtId="0" hierarchy="2" level="1">
      <sharedItems containsSemiMixedTypes="0" containsNonDate="0" containsString="0"/>
    </cacheField>
  </cacheFields>
  <cacheHierarchies count="20">
    <cacheHierarchy uniqueName="[Data].[Client ID]" caption="Client ID" attribute="1" defaultMemberUniqueName="[Data].[Client ID].[All]" allUniqueName="[Data].[Client ID].[All]" dimensionUniqueName="[Data]" displayFolder="" count="0" memberValueDatatype="130" unbalanced="0"/>
    <cacheHierarchy uniqueName="[Data].[Client Gender]" caption="Client Gender" attribute="1" defaultMemberUniqueName="[Data].[Client Gender].[All]" allUniqueName="[Data].[Client Gender].[All]" dimensionUniqueName="[Data]" displayFolder="" count="0" memberValueDatatype="130" unbalanced="0"/>
    <cacheHierarchy uniqueName="[Data].[Sales Person]" caption="Sales Person" attribute="1" defaultMemberUniqueName="[Data].[Sales Person].[All]" allUniqueName="[Data].[Sales Person].[All]" dimensionUniqueName="[Data]" displayFolder="" count="2" memberValueDatatype="130" unbalanced="0">
      <fieldsUsage count="2">
        <fieldUsage x="-1"/>
        <fieldUsage x="3"/>
      </fieldsUsage>
    </cacheHierarchy>
    <cacheHierarchy uniqueName="[Data].[Date Given]" caption="Date Given" attribute="1" defaultMemberUniqueName="[Data].[Date Given].[All]" allUniqueName="[Data].[Date Given].[All]" dimensionUniqueName="[Data]" displayFolder="" count="0" memberValueDatatype="130" unbalanced="0"/>
    <cacheHierarchy uniqueName="[Data].[Sales]" caption="Sales" attribute="1" defaultMemberUniqueName="[Data].[Sales].[All]" allUniqueName="[Data].[Sales].[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Inspection]" caption="Inspection" attribute="1" defaultMemberUniqueName="[Data].[Inspection].[All]" allUniqueName="[Data].[Inspection].[All]" dimensionUniqueName="[Data]" displayFolder="" count="0" memberValueDatatype="130" unbalanced="0"/>
    <cacheHierarchy uniqueName="[Data].[Payment Status]" caption="Payment Status" attribute="1" defaultMemberUniqueName="[Data].[Payment Status].[All]" allUniqueName="[Data].[Payment Status].[All]" dimensionUniqueName="[Data]" displayFolder="" count="0" memberValueDatatype="130" unbalanced="0"/>
    <cacheHierarchy uniqueName="[Data].[Gender Icon]" caption="Gender Icon" attribute="1" defaultMemberUniqueName="[Data].[Gender Icon].[All]" allUniqueName="[Data].[Gender Icon].[All]" dimensionUniqueName="[Data]" displayFolder="" count="2" memberValueDatatype="130" unbalanced="0"/>
    <cacheHierarchy uniqueName="[Data].[Inspection Icon]" caption="Inspection Icon" attribute="1" defaultMemberUniqueName="[Data].[Inspection Icon].[All]" allUniqueName="[Data].[Inspection Icon].[All]" dimensionUniqueName="[Data]" displayFolder="" count="2" memberValueDatatype="130" unbalanced="0"/>
    <cacheHierarchy uniqueName="[Data].[Product Icon]" caption="Product Icon" attribute="1" defaultMemberUniqueName="[Data].[Product Icon].[All]" allUniqueName="[Data].[Product Icon].[All]" dimensionUniqueName="[Data]" displayFolder="" count="2" memberValueDatatype="130" unbalanced="0"/>
    <cacheHierarchy uniqueName="[Measures].[Lead]" caption="Lead" measure="1" displayFolder="" measureGroup="Data" count="0"/>
    <cacheHierarchy uniqueName="[Measures].[Clients]" caption="Clients" measure="1" displayFolder="" measureGroup="Data" count="0"/>
    <cacheHierarchy uniqueName="[Measures].[Conversion Rate %]" caption="Conversion Rate %" measure="1" displayFolder="" measureGroup="Data" count="0" oneField="1">
      <fieldsUsage count="1">
        <fieldUsage x="1"/>
      </fieldsUsage>
    </cacheHierarchy>
    <cacheHierarchy uniqueName="[Measures].[Pending ]" caption="Pending " measure="1" displayFolder="" measureGroup="Data" count="0"/>
    <cacheHierarchy uniqueName="[Measures].[Pending Conversion rate%]" caption="Pending Conversion rate%" measure="1" displayFolder="" measureGroup="Data" count="0" oneField="1">
      <fieldsUsage count="1">
        <fieldUsage x="2"/>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2.810059606483" backgroundQuery="1" createdVersion="8" refreshedVersion="8" minRefreshableVersion="3" recordCount="0" supportSubquery="1" supportAdvancedDrill="1" xr:uid="{72A11173-CB5D-415C-91CE-2F35AC258D10}">
  <cacheSource type="external" connectionId="2"/>
  <cacheFields count="5">
    <cacheField name="[Measures].[Clients]" caption="Clients" numFmtId="0" hierarchy="13" level="32767"/>
    <cacheField name="[Data].[Product].[Product]" caption="Product" numFmtId="0" hierarchy="6" level="1">
      <sharedItems count="3">
        <s v="Commercial"/>
        <s v="Industrial"/>
        <s v="Residential"/>
      </sharedItems>
    </cacheField>
    <cacheField name="[Measures].[Lead]" caption="Lead" numFmtId="0" hierarchy="12" level="32767"/>
    <cacheField name="[Data].[State].[State]" caption="State" numFmtId="0" hierarchy="5" level="1">
      <sharedItems count="2">
        <s v="Lagos"/>
        <s v="Rivers"/>
      </sharedItems>
    </cacheField>
    <cacheField name="[Data].[Sales Person].[Sales Person]" caption="Sales Person" numFmtId="0" hierarchy="2" level="1">
      <sharedItems containsSemiMixedTypes="0" containsNonDate="0" containsString="0"/>
    </cacheField>
  </cacheFields>
  <cacheHierarchies count="20">
    <cacheHierarchy uniqueName="[Data].[Client ID]" caption="Client ID" attribute="1" defaultMemberUniqueName="[Data].[Client ID].[All]" allUniqueName="[Data].[Client ID].[All]" dimensionUniqueName="[Data]" displayFolder="" count="0" memberValueDatatype="130" unbalanced="0"/>
    <cacheHierarchy uniqueName="[Data].[Client Gender]" caption="Client Gender" attribute="1" defaultMemberUniqueName="[Data].[Client Gender].[All]" allUniqueName="[Data].[Client Gender].[All]" dimensionUniqueName="[Data]" displayFolder="" count="0" memberValueDatatype="130" unbalanced="0"/>
    <cacheHierarchy uniqueName="[Data].[Sales Person]" caption="Sales Person" attribute="1" defaultMemberUniqueName="[Data].[Sales Person].[All]" allUniqueName="[Data].[Sales Person].[All]" dimensionUniqueName="[Data]" displayFolder="" count="2" memberValueDatatype="130" unbalanced="0">
      <fieldsUsage count="2">
        <fieldUsage x="-1"/>
        <fieldUsage x="4"/>
      </fieldsUsage>
    </cacheHierarchy>
    <cacheHierarchy uniqueName="[Data].[Date Given]" caption="Date Given" attribute="1" defaultMemberUniqueName="[Data].[Date Given].[All]" allUniqueName="[Data].[Date Given].[All]" dimensionUniqueName="[Data]" displayFolder="" count="0" memberValueDatatype="130" unbalanced="0"/>
    <cacheHierarchy uniqueName="[Data].[Sales]" caption="Sales" attribute="1" defaultMemberUniqueName="[Data].[Sales].[All]" allUniqueName="[Data].[Sales].[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3"/>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1"/>
      </fieldsUsage>
    </cacheHierarchy>
    <cacheHierarchy uniqueName="[Data].[Inspection]" caption="Inspection" attribute="1" defaultMemberUniqueName="[Data].[Inspection].[All]" allUniqueName="[Data].[Inspection].[All]" dimensionUniqueName="[Data]" displayFolder="" count="0" memberValueDatatype="130" unbalanced="0"/>
    <cacheHierarchy uniqueName="[Data].[Payment Status]" caption="Payment Status" attribute="1" defaultMemberUniqueName="[Data].[Payment Status].[All]" allUniqueName="[Data].[Payment Status].[All]" dimensionUniqueName="[Data]" displayFolder="" count="0" memberValueDatatype="130" unbalanced="0"/>
    <cacheHierarchy uniqueName="[Data].[Gender Icon]" caption="Gender Icon" attribute="1" defaultMemberUniqueName="[Data].[Gender Icon].[All]" allUniqueName="[Data].[Gender Icon].[All]" dimensionUniqueName="[Data]" displayFolder="" count="0" memberValueDatatype="130" unbalanced="0"/>
    <cacheHierarchy uniqueName="[Data].[Inspection Icon]" caption="Inspection Icon" attribute="1" defaultMemberUniqueName="[Data].[Inspection Icon].[All]" allUniqueName="[Data].[Inspection Icon].[All]" dimensionUniqueName="[Data]" displayFolder="" count="2" memberValueDatatype="130" unbalanced="0"/>
    <cacheHierarchy uniqueName="[Data].[Product Icon]" caption="Product Icon" attribute="1" defaultMemberUniqueName="[Data].[Product Icon].[All]" allUniqueName="[Data].[Product Icon].[All]" dimensionUniqueName="[Data]" displayFolder="" count="0" memberValueDatatype="130" unbalanced="0"/>
    <cacheHierarchy uniqueName="[Measures].[Lead]" caption="Lead" measure="1" displayFolder="" measureGroup="Data" count="0" oneField="1">
      <fieldsUsage count="1">
        <fieldUsage x="2"/>
      </fieldsUsage>
    </cacheHierarchy>
    <cacheHierarchy uniqueName="[Measures].[Clients]" caption="Clients" measure="1" displayFolder="" measureGroup="Data" count="0" oneField="1">
      <fieldsUsage count="1">
        <fieldUsage x="0"/>
      </fieldsUsage>
    </cacheHierarchy>
    <cacheHierarchy uniqueName="[Measures].[Conversion Rate %]" caption="Conversion Rate %" measure="1" displayFolder="" measureGroup="Data" count="0"/>
    <cacheHierarchy uniqueName="[Measures].[Pending ]" caption="Pending " measure="1" displayFolder="" measureGroup="Data" count="0"/>
    <cacheHierarchy uniqueName="[Measures].[Pending Conversion rate%]" caption="Pending Conversion rate%"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1.726380555556" backgroundQuery="1" createdVersion="3" refreshedVersion="8" minRefreshableVersion="3" recordCount="0" supportSubquery="1" supportAdvancedDrill="1" xr:uid="{4D4C409E-D053-4B49-87B3-2755D71A2068}">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Data].[Client ID]" caption="Client ID" attribute="1" defaultMemberUniqueName="[Data].[Client ID].[All]" allUniqueName="[Data].[Client ID].[All]" dimensionUniqueName="[Data]" displayFolder="" count="0" memberValueDatatype="130" unbalanced="0"/>
    <cacheHierarchy uniqueName="[Data].[Client Gender]" caption="Client Gender" attribute="1" defaultMemberUniqueName="[Data].[Client Gender].[All]" allUniqueName="[Data].[Client Gender].[All]" dimensionUniqueName="[Data]" displayFolder="" count="0" memberValueDatatype="130" unbalanced="0"/>
    <cacheHierarchy uniqueName="[Data].[Sales Person]" caption="Sales Person" attribute="1" defaultMemberUniqueName="[Data].[Sales Person].[All]" allUniqueName="[Data].[Sales Person].[All]" dimensionUniqueName="[Data]" displayFolder="" count="2" memberValueDatatype="130" unbalanced="0"/>
    <cacheHierarchy uniqueName="[Data].[Date Given]" caption="Date Given" attribute="1" defaultMemberUniqueName="[Data].[Date Given].[All]" allUniqueName="[Data].[Date Given].[All]" dimensionUniqueName="[Data]" displayFolder="" count="0" memberValueDatatype="130" unbalanced="0"/>
    <cacheHierarchy uniqueName="[Data].[Sales]" caption="Sales" attribute="1" defaultMemberUniqueName="[Data].[Sales].[All]" allUniqueName="[Data].[Sales].[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Inspection]" caption="Inspection" attribute="1" defaultMemberUniqueName="[Data].[Inspection].[All]" allUniqueName="[Data].[Inspection].[All]" dimensionUniqueName="[Data]" displayFolder="" count="0" memberValueDatatype="130" unbalanced="0"/>
    <cacheHierarchy uniqueName="[Data].[Payment Status]" caption="Payment Status" attribute="1" defaultMemberUniqueName="[Data].[Payment Status].[All]" allUniqueName="[Data].[Payment Status].[All]" dimensionUniqueName="[Data]" displayFolder="" count="0" memberValueDatatype="130" unbalanced="0"/>
    <cacheHierarchy uniqueName="[Data].[Gender Icon]" caption="Gender Icon" attribute="1" defaultMemberUniqueName="[Data].[Gender Icon].[All]" allUniqueName="[Data].[Gender Icon].[All]" dimensionUniqueName="[Data]" displayFolder="" count="2" memberValueDatatype="130" unbalanced="0"/>
    <cacheHierarchy uniqueName="[Data].[Inspection Icon]" caption="Inspection Icon" attribute="1" defaultMemberUniqueName="[Data].[Inspection Icon].[All]" allUniqueName="[Data].[Inspection Icon].[All]" dimensionUniqueName="[Data]" displayFolder="" count="2" memberValueDatatype="130" unbalanced="0"/>
    <cacheHierarchy uniqueName="[Data].[Product Icon]" caption="Product Icon" attribute="1" defaultMemberUniqueName="[Data].[Product Icon].[All]" allUniqueName="[Data].[Product Icon].[All]" dimensionUniqueName="[Data]" displayFolder="" count="2" memberValueDatatype="130" unbalanced="0"/>
    <cacheHierarchy uniqueName="[Measures].[Lead]" caption="Lead" measure="1" displayFolder="" measureGroup="Data" count="0"/>
    <cacheHierarchy uniqueName="[Measures].[Clients]" caption="Clients" measure="1" displayFolder="" measureGroup="Data" count="0"/>
    <cacheHierarchy uniqueName="[Measures].[Conversion Rate %]" caption="Conversion Rate %" measure="1" displayFolder="" measureGroup="Data" count="0"/>
    <cacheHierarchy uniqueName="[Measures].[Pending ]" caption="Pending " measure="1" displayFolder="" measureGroup="Data" count="0"/>
    <cacheHierarchy uniqueName="[Measures].[Pending Conversion rate%]" caption="Pending Conversion rate%"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State]" caption="Count of State" measure="1" displayFolder="" measureGroup="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6404531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3636CD-262C-4836-BD69-CDF7E4715360}" name="Property1"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O31:Q3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pivotHierarchies count="20">
    <pivotHierarchy dragToData="1"/>
    <pivotHierarchy dragToData="1"/>
    <pivotHierarchy multipleItemSelectionAllowed="1" dragToData="1">
      <members count="1" level="1">
        <member name="[Data].[Sales Person].&amp;[Ahmed]"/>
      </members>
    </pivotHierarchy>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3BD06E-01EF-4A4D-80F9-C231BEF68FAD}" name="Kpi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E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20">
    <pivotHierarchy dragToData="1"/>
    <pivotHierarchy dragToData="1"/>
    <pivotHierarchy multipleItemSelectionAllowed="1" dragToData="1">
      <members count="1" level="1">
        <member name="[Data].[Sales Person].&amp;[Ahmed]"/>
      </members>
    </pivotHierarchy>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1759A7-7B17-425F-ADCD-941DAF28937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7:P10"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C2CB4E-764D-472E-BAE1-124AD07E675C}" name="location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6:X1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pivotHierarchies count="20">
    <pivotHierarchy dragToData="1"/>
    <pivotHierarchy dragToData="1"/>
    <pivotHierarchy multipleItemSelectionAllowed="1" dragToData="1">
      <members count="1" level="1">
        <member name="[Data].[Sales Person].&amp;[Ahmed]"/>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C9F881-40F8-443C-9FC6-56D2B145EB85}" name="sales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7:E1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fld="0" subtotal="count" baseField="0" baseItem="0"/>
    <dataField fld="1"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00E958-9EE5-406D-B0CE-99900C168D8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K10"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2"/>
  </colFields>
  <colItems count="2">
    <i>
      <x/>
    </i>
    <i i="1">
      <x v="1"/>
    </i>
  </colItems>
  <dataFields count="2">
    <dataField fld="0" subtotal="count" baseField="0" baseItem="0"/>
    <dataField fld="1"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667017-5609-4015-B2C4-66A0D2122FEF}"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7:U10"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2"/>
  </colFields>
  <colItems count="2">
    <i>
      <x/>
    </i>
    <i i="1">
      <x v="1"/>
    </i>
  </colItems>
  <dataFields count="2">
    <dataField fld="0" subtotal="count" baseField="0" baseItem="0"/>
    <dataField fld="1"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9287A2-509F-4EF6-8C1A-19CB5118C5B9}" name="gender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I16:J1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dragToData="1"/>
    <pivotHierarchy multipleItemSelectionAllowed="1" dragToData="1">
      <members count="1" level="1">
        <member name="[Data].[Sales Person].&amp;[Ahmed]"/>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681188-B33B-4523-917B-A729A850473E}" name="Inspection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16:T18" firstHeaderRow="1" firstDataRow="1" firstDataCol="1"/>
  <pivotFields count="3">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1"/>
  </rowFields>
  <rowItems count="2">
    <i>
      <x/>
    </i>
    <i t="grand">
      <x/>
    </i>
  </rowItems>
  <colItems count="1">
    <i/>
  </colItems>
  <dataFields count="1">
    <dataField fld="0"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s>
  <pivotHierarchies count="20">
    <pivotHierarchy dragToData="1"/>
    <pivotHierarchy dragToData="1"/>
    <pivotHierarchy multipleItemSelectionAllowed="1" dragToData="1">
      <members count="1" level="1">
        <member name="[Data].[Sales Person].&amp;[Ahmed]"/>
      </members>
    </pivotHierarchy>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F8D49E-FA60-45A1-BDB4-28FC110808CD}"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D25"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1BB632-A87C-44F4-B83A-4E8A6250914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7:Y10"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2"/>
  </colFields>
  <colItems count="2">
    <i>
      <x/>
    </i>
    <i i="1">
      <x v="1"/>
    </i>
  </colItems>
  <dataFields count="2">
    <dataField fld="0" subtotal="count" baseField="0" baseItem="0"/>
    <dataField fld="1"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780CC6-7847-4D5C-958D-DDA7C40AD6E2}" name="Propertylocation"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O16:Q24" firstHeaderRow="0"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1"/>
    <field x="3"/>
  </rowFields>
  <rowItems count="8">
    <i>
      <x/>
    </i>
    <i r="1">
      <x/>
    </i>
    <i r="1">
      <x v="1"/>
    </i>
    <i>
      <x v="1"/>
    </i>
    <i r="1">
      <x/>
    </i>
    <i>
      <x v="2"/>
    </i>
    <i r="1">
      <x/>
    </i>
    <i t="grand">
      <x/>
    </i>
  </rowItems>
  <colFields count="1">
    <field x="-2"/>
  </colFields>
  <colItems count="2">
    <i>
      <x/>
    </i>
    <i i="1">
      <x v="1"/>
    </i>
  </colItems>
  <dataFields count="2">
    <dataField fld="0" subtotal="count" baseField="0" baseItem="0"/>
    <dataField fld="2" subtotal="count"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20">
    <pivotHierarchy dragToData="1"/>
    <pivotHierarchy dragToData="1"/>
    <pivotHierarchy multipleItemSelectionAllowed="1" dragToData="1">
      <members count="1" level="1">
        <member name="[Data].[Sales Person].&amp;[Ahmed]"/>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6"/>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5B17B802-F558-46E5-BFF1-D61940162830}" sourceName="[Data].[Sales Person]">
  <pivotTables>
    <pivotTable tabId="1" name="Inspection1"/>
    <pivotTable tabId="1" name="gender1"/>
    <pivotTable tabId="1" name="Kpi1"/>
    <pivotTable tabId="1" name="location1"/>
    <pivotTable tabId="1" name="Property1"/>
    <pivotTable tabId="1" name="Propertylocation"/>
  </pivotTables>
  <data>
    <olap pivotCacheId="640453127">
      <levels count="2">
        <level uniqueName="[Data].[Sales Person].[(All)]" sourceCaption="(All)" count="0"/>
        <level uniqueName="[Data].[Sales Person].[Sales Person]" sourceCaption="Sales Person" count="6">
          <ranges>
            <range startItem="0">
              <i n="[Data].[Sales Person].&amp;[Ahmed]" c="Ahmed"/>
              <i n="[Data].[Sales Person].&amp;[Chioma]" c="Chioma"/>
              <i n="[Data].[Sales Person].&amp;[Chukwudi]" c="Chukwudi"/>
              <i n="[Data].[Sales Person].&amp;[Funmi]" c="Funmi"/>
              <i n="[Data].[Sales Person].&amp;[Ngozi]" c="Ngozi"/>
              <i n="[Data].[Sales Person].&amp;[Olumide]" c="Olumide"/>
            </range>
          </ranges>
        </level>
      </levels>
      <selections count="1">
        <selection n="[Data].[Sales Person].&amp;[Ahmed]"/>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_Icon" xr10:uid="{6AD5B1C5-C163-47C6-AF28-8280C46F309F}" sourceName="[Data].[Inspection Icon]">
  <pivotTables>
    <pivotTable tabId="1" name="gender1"/>
    <pivotTable tabId="1" name="Kpi1"/>
    <pivotTable tabId="1" name="location1"/>
    <pivotTable tabId="1" name="Property1"/>
    <pivotTable tabId="1" name="Propertylocation"/>
    <pivotTable tabId="1" name="sales1"/>
  </pivotTables>
  <data>
    <olap pivotCacheId="640453127">
      <levels count="2">
        <level uniqueName="[Data].[Inspection Icon].[(All)]" sourceCaption="(All)" count="0"/>
        <level uniqueName="[Data].[Inspection Icon].[Inspection Icon]" sourceCaption="Inspection Icon" count="2">
          <ranges>
            <range startItem="0">
              <i n="[Data].[Inspection Icon].&amp;[✅]" c="✅"/>
              <i n="[Data].[Inspection Icon].&amp;[❎]" c="❎"/>
            </range>
          </ranges>
        </level>
      </levels>
      <selections count="1">
        <selection n="[Data].[Inspection Ic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A337FF6-9AB7-42AB-A03D-C98EA09D48C0}" sourceName="[Data].[State]">
  <pivotTables>
    <pivotTable tabId="1" name="gender1"/>
    <pivotTable tabId="1" name="Inspection1"/>
    <pivotTable tabId="1" name="Kpi1"/>
    <pivotTable tabId="1" name="Property1"/>
    <pivotTable tabId="1" name="Propertylocation"/>
    <pivotTable tabId="1" name="sales1"/>
  </pivotTables>
  <data>
    <olap pivotCacheId="640453127">
      <levels count="2">
        <level uniqueName="[Data].[State].[(All)]" sourceCaption="(All)" count="0"/>
        <level uniqueName="[Data].[State].[State]" sourceCaption="State" count="2">
          <ranges>
            <range startItem="0">
              <i n="[Data].[State].&amp;[Lagos]" c="Lagos"/>
              <i n="[Data].[State].&amp;[Rivers]" c="Rivers"/>
            </range>
          </ranges>
        </level>
      </levels>
      <selections count="1">
        <selection n="[Data].[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Icon" xr10:uid="{84B6EFB7-585E-49D0-AE37-DDB0E2AA0F38}" sourceName="[Data].[Gender Icon]">
  <pivotTables>
    <pivotTable tabId="1" name="Inspection1"/>
    <pivotTable tabId="1" name="Kpi1"/>
    <pivotTable tabId="1" name="location1"/>
    <pivotTable tabId="1" name="Property1"/>
    <pivotTable tabId="1" name="sales1"/>
  </pivotTables>
  <data>
    <olap pivotCacheId="640453127">
      <levels count="2">
        <level uniqueName="[Data].[Gender Icon].[(All)]" sourceCaption="(All)" count="0"/>
        <level uniqueName="[Data].[Gender Icon].[Gender Icon]" sourceCaption="Gender Icon" count="2">
          <ranges>
            <range startItem="0">
              <i n="[Data].[Gender Icon].&amp;[👩]" c="👩"/>
              <i n="[Data].[Gender Icon].&amp;[👨]" c="👨"/>
            </range>
          </ranges>
        </level>
      </levels>
      <selections count="1">
        <selection n="[Data].[Gender Ic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con" xr10:uid="{24EFEECA-6A63-448C-BF9E-07F177BC9A4A}" sourceName="[Data].[Product Icon]">
  <pivotTables>
    <pivotTable tabId="1" name="gender1"/>
    <pivotTable tabId="1" name="Inspection1"/>
    <pivotTable tabId="1" name="Kpi1"/>
    <pivotTable tabId="1" name="location1"/>
    <pivotTable tabId="1" name="Property1"/>
    <pivotTable tabId="1" name="sales1"/>
  </pivotTables>
  <data>
    <olap pivotCacheId="640453127">
      <levels count="2">
        <level uniqueName="[Data].[Product Icon].[(All)]" sourceCaption="(All)" count="0"/>
        <level uniqueName="[Data].[Product Icon].[Product Icon]" sourceCaption="Product Icon" count="3">
          <ranges>
            <range startItem="0">
              <i n="[Data].[Product Icon].&amp;[🏠]" c="🏠"/>
              <i n="[Data].[Product Icon].&amp;[🏢]" c="🏢"/>
              <i n="[Data].[Product Icon].&amp;[🏭]" c="🏭"/>
            </range>
          </ranges>
        </level>
      </levels>
      <selections count="1">
        <selection n="[Data].[Product Ic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56976951-626A-422B-811E-51332ABD517A}" cache="Slicer_Sales_Person" caption="Sales Person" showCaption="0" level="1" style="Slicer Style 1" rowHeight="247650"/>
  <slicer name="Inspection Icon" xr10:uid="{32CD492C-F373-46CA-92DF-7F617BBF82E7}" cache="Slicer_Inspection_Icon" caption="Inspection Icon" columnCount="2" showCaption="0" level="1" style="Slicer Style 1" rowHeight="274320"/>
  <slicer name="State" xr10:uid="{13E4387F-E7BC-45B0-BD6F-CB81EEBD161F}" cache="Slicer_State" caption="State" columnCount="2" showCaption="0" level="1" style="Slicer Style 2" rowHeight="247650"/>
  <slicer name="Gender Icon" xr10:uid="{8302A7E8-C0C6-45EE-B946-4A9972521415}" cache="Slicer_Gender_Icon" caption="Gender Icon" columnCount="2" showCaption="0" level="1" style="Slicer Style 1" rowHeight="274320"/>
  <slicer name="Product Icon" xr10:uid="{E5B50DA5-F852-49FB-8A29-24C3EE0BE779}" cache="Slicer_Product_Icon" caption="Product Icon" columnCount="3" showCaption="0" level="1"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6F3D-C50E-48B3-A447-AFD7895C17CB}">
  <dimension ref="B1:U38"/>
  <sheetViews>
    <sheetView tabSelected="1" zoomScale="85" zoomScaleNormal="85" workbookViewId="0">
      <selection activeCell="V11" sqref="V11"/>
    </sheetView>
  </sheetViews>
  <sheetFormatPr defaultColWidth="12.77734375" defaultRowHeight="14.4" zeroHeight="1" x14ac:dyDescent="0.3"/>
  <cols>
    <col min="1" max="1" width="2.109375" style="8" customWidth="1"/>
    <col min="2" max="4" width="12.77734375" style="7" customWidth="1"/>
    <col min="5" max="5" width="2.109375" style="8" customWidth="1"/>
    <col min="6" max="8" width="12.77734375" style="7" customWidth="1"/>
    <col min="9" max="9" width="2.109375" style="8" customWidth="1"/>
    <col min="10" max="12" width="12.77734375" style="7" customWidth="1"/>
    <col min="13" max="13" width="2.109375" style="8" customWidth="1"/>
    <col min="14" max="14" width="12.77734375" style="7" customWidth="1"/>
    <col min="15" max="15" width="0.77734375" style="7" customWidth="1"/>
    <col min="16" max="18" width="12.77734375" style="7" hidden="1" customWidth="1"/>
    <col min="19" max="19" width="38.109375" style="7" customWidth="1"/>
    <col min="20" max="20" width="2.109375" style="8" customWidth="1"/>
    <col min="21" max="21" width="12.77734375" style="7"/>
    <col min="22" max="16384" width="12.77734375" style="8"/>
  </cols>
  <sheetData>
    <row r="1" spans="2:19" x14ac:dyDescent="0.3">
      <c r="E1" s="7"/>
      <c r="I1" s="7"/>
      <c r="M1" s="7"/>
    </row>
    <row r="2" spans="2:19" x14ac:dyDescent="0.3">
      <c r="F2" s="8"/>
      <c r="G2" s="8"/>
      <c r="H2" s="8"/>
      <c r="J2" s="8"/>
      <c r="K2" s="8"/>
      <c r="L2" s="8"/>
      <c r="N2" s="8"/>
      <c r="O2" s="8"/>
      <c r="P2" s="8"/>
      <c r="Q2" s="8"/>
      <c r="R2" s="8"/>
      <c r="S2" s="8"/>
    </row>
    <row r="3" spans="2:19" ht="23.4" customHeight="1" x14ac:dyDescent="0.3">
      <c r="D3" s="16"/>
      <c r="F3" s="8" t="s">
        <v>39</v>
      </c>
      <c r="G3" s="8"/>
      <c r="H3" s="8"/>
      <c r="J3" s="8"/>
      <c r="K3" s="8"/>
      <c r="L3" s="8"/>
      <c r="N3" s="8"/>
      <c r="O3" s="8"/>
      <c r="P3" s="8"/>
      <c r="Q3" s="8"/>
      <c r="R3" s="8"/>
      <c r="S3" s="8"/>
    </row>
    <row r="4" spans="2:19" ht="14.4" customHeight="1" x14ac:dyDescent="0.3">
      <c r="C4" s="18" t="s">
        <v>37</v>
      </c>
      <c r="D4" s="16"/>
      <c r="F4" s="21">
        <f ca="1">TODAY()</f>
        <v>46178</v>
      </c>
      <c r="G4" s="21"/>
      <c r="H4" s="21"/>
      <c r="J4" s="8"/>
      <c r="K4" s="8"/>
      <c r="L4" s="8"/>
      <c r="N4" s="22" t="s">
        <v>40</v>
      </c>
      <c r="O4" s="22"/>
      <c r="P4" s="22"/>
      <c r="Q4" s="22"/>
      <c r="R4" s="22"/>
      <c r="S4" s="22"/>
    </row>
    <row r="5" spans="2:19" ht="13.95" customHeight="1" x14ac:dyDescent="0.3">
      <c r="C5" s="17" t="s">
        <v>38</v>
      </c>
      <c r="D5" s="17"/>
      <c r="F5" s="20" t="s">
        <v>34</v>
      </c>
      <c r="G5" s="20"/>
      <c r="H5" s="8"/>
      <c r="J5" s="8"/>
      <c r="K5" s="8"/>
      <c r="L5" s="8"/>
      <c r="N5" s="8"/>
      <c r="O5" s="8"/>
      <c r="P5" s="8"/>
      <c r="Q5" s="8"/>
      <c r="R5" s="8"/>
      <c r="S5" s="8"/>
    </row>
    <row r="6" spans="2:19" ht="14.4" customHeight="1" x14ac:dyDescent="0.3">
      <c r="F6" s="20"/>
      <c r="G6" s="20"/>
      <c r="H6" s="8"/>
      <c r="J6" s="8"/>
      <c r="K6" s="8"/>
      <c r="L6" s="8"/>
      <c r="N6" s="8"/>
      <c r="O6" s="8"/>
      <c r="P6" s="8"/>
      <c r="Q6" s="8"/>
      <c r="R6" s="8"/>
      <c r="S6" s="8"/>
    </row>
    <row r="7" spans="2:19" x14ac:dyDescent="0.3">
      <c r="F7" s="15" t="s">
        <v>33</v>
      </c>
      <c r="G7" s="8"/>
      <c r="H7" s="8"/>
      <c r="J7" s="8"/>
      <c r="K7" s="8"/>
      <c r="L7" s="8"/>
      <c r="N7" s="8"/>
      <c r="O7" s="8"/>
      <c r="P7" s="8"/>
      <c r="Q7" s="8"/>
      <c r="R7" s="8"/>
      <c r="S7" s="8"/>
    </row>
    <row r="8" spans="2:19" ht="12" customHeight="1" x14ac:dyDescent="0.3">
      <c r="F8" s="8"/>
      <c r="G8" s="8"/>
      <c r="H8" s="8"/>
      <c r="J8" s="8"/>
      <c r="K8" s="8"/>
      <c r="L8" s="8"/>
      <c r="N8" s="8"/>
      <c r="O8" s="8"/>
      <c r="P8" s="8"/>
      <c r="Q8" s="8"/>
      <c r="R8" s="8"/>
      <c r="S8" s="8"/>
    </row>
    <row r="9" spans="2:19" x14ac:dyDescent="0.3">
      <c r="B9" s="24" t="s">
        <v>32</v>
      </c>
      <c r="C9" s="24"/>
      <c r="D9" s="24"/>
      <c r="F9" s="26" t="s">
        <v>26</v>
      </c>
      <c r="G9" s="26"/>
      <c r="H9" s="26"/>
      <c r="J9" s="26" t="s">
        <v>27</v>
      </c>
      <c r="K9" s="26"/>
      <c r="L9" s="26"/>
      <c r="N9" s="13" t="s">
        <v>29</v>
      </c>
      <c r="O9" s="9"/>
      <c r="P9" s="9"/>
    </row>
    <row r="10" spans="2:19" x14ac:dyDescent="0.3">
      <c r="F10" s="27">
        <f>IFERROR(GETPIVOTDATA("[Measures].[Lead]",Model!$B$1),0)</f>
        <v>22</v>
      </c>
      <c r="G10" s="27"/>
      <c r="J10" s="28">
        <f>IFERROR(GETPIVOTDATA("[Measures].[Clients]",Model!$B$1),0)</f>
        <v>5</v>
      </c>
      <c r="K10" s="28"/>
    </row>
    <row r="11" spans="2:19" x14ac:dyDescent="0.3">
      <c r="F11" s="27"/>
      <c r="G11" s="27"/>
      <c r="J11" s="28"/>
      <c r="K11" s="28"/>
    </row>
    <row r="12" spans="2:19" ht="14.4" customHeight="1" x14ac:dyDescent="0.3">
      <c r="F12" s="27"/>
      <c r="G12" s="27"/>
      <c r="J12" s="28"/>
      <c r="K12" s="28"/>
    </row>
    <row r="13" spans="2:19" ht="14.4" customHeight="1" x14ac:dyDescent="0.3">
      <c r="F13" s="27"/>
      <c r="G13" s="27"/>
      <c r="J13" s="28"/>
      <c r="K13" s="28"/>
    </row>
    <row r="14" spans="2:19" ht="14.4" customHeight="1" x14ac:dyDescent="0.3"/>
    <row r="15" spans="2:19" ht="12" customHeight="1" x14ac:dyDescent="0.3">
      <c r="F15" s="8"/>
      <c r="G15" s="8"/>
      <c r="H15" s="8"/>
      <c r="J15" s="8"/>
      <c r="K15" s="8"/>
      <c r="L15" s="8"/>
    </row>
    <row r="16" spans="2:19" x14ac:dyDescent="0.3">
      <c r="F16" s="26" t="s">
        <v>2</v>
      </c>
      <c r="G16" s="26"/>
      <c r="H16" s="26"/>
      <c r="J16" s="26" t="s">
        <v>28</v>
      </c>
      <c r="K16" s="26"/>
      <c r="L16" s="26"/>
    </row>
    <row r="17" spans="2:19" ht="14.4" customHeight="1" x14ac:dyDescent="0.3">
      <c r="F17" s="29">
        <f>IFERROR(GETPIVOTDATA("[Measures].[Conversion Rate %]",Model!$B$1),0)</f>
        <v>0.22727272727272727</v>
      </c>
      <c r="G17" s="29"/>
      <c r="J17" s="19">
        <f>IFERROR(GETPIVOTDATA("[Measures].[Pending ]",Model!$B$1),0)</f>
        <v>17</v>
      </c>
      <c r="K17" s="19"/>
    </row>
    <row r="18" spans="2:19" ht="14.4" customHeight="1" x14ac:dyDescent="0.3">
      <c r="F18" s="29"/>
      <c r="G18" s="29"/>
      <c r="J18" s="19"/>
      <c r="K18" s="19"/>
    </row>
    <row r="19" spans="2:19" ht="14.4" customHeight="1" x14ac:dyDescent="0.3">
      <c r="F19" s="29"/>
      <c r="G19" s="29"/>
      <c r="J19" s="19"/>
      <c r="K19" s="19"/>
    </row>
    <row r="20" spans="2:19" ht="14.4" customHeight="1" x14ac:dyDescent="0.3">
      <c r="F20" s="29"/>
      <c r="G20" s="29"/>
      <c r="J20" s="19"/>
      <c r="K20" s="19"/>
    </row>
    <row r="21" spans="2:19" ht="14.4" customHeight="1" x14ac:dyDescent="0.3">
      <c r="J21" s="14"/>
    </row>
    <row r="22" spans="2:19" ht="12" customHeight="1" x14ac:dyDescent="0.3">
      <c r="B22" s="14"/>
      <c r="F22" s="8"/>
      <c r="G22" s="8"/>
      <c r="H22" s="8"/>
      <c r="J22" s="8"/>
      <c r="K22" s="8"/>
      <c r="L22" s="8"/>
      <c r="N22" s="8"/>
      <c r="O22" s="8"/>
      <c r="P22" s="8"/>
      <c r="Q22" s="8"/>
      <c r="R22" s="8"/>
      <c r="S22" s="8"/>
    </row>
    <row r="23" spans="2:19" ht="9.6" customHeight="1" x14ac:dyDescent="0.3">
      <c r="B23" s="24" t="s">
        <v>24</v>
      </c>
      <c r="C23" s="24"/>
      <c r="D23" s="24"/>
      <c r="F23" s="25" t="s">
        <v>20</v>
      </c>
      <c r="G23" s="25"/>
      <c r="H23" s="25"/>
      <c r="J23" s="25" t="s">
        <v>13</v>
      </c>
      <c r="K23" s="25"/>
      <c r="L23" s="25"/>
      <c r="N23" s="23" t="s">
        <v>30</v>
      </c>
      <c r="O23" s="23"/>
      <c r="P23" s="23"/>
      <c r="S23" s="7" t="s">
        <v>35</v>
      </c>
    </row>
    <row r="24" spans="2:19" ht="14.4" customHeight="1" x14ac:dyDescent="0.3">
      <c r="S24" s="7" t="s">
        <v>36</v>
      </c>
    </row>
    <row r="25" spans="2:19" x14ac:dyDescent="0.3"/>
    <row r="26" spans="2:19" x14ac:dyDescent="0.3"/>
    <row r="27" spans="2:19" x14ac:dyDescent="0.3"/>
    <row r="28" spans="2:19" x14ac:dyDescent="0.3">
      <c r="D28" s="12">
        <v>0.50757575757575757</v>
      </c>
    </row>
    <row r="29" spans="2:19" ht="12" customHeight="1" x14ac:dyDescent="0.3"/>
    <row r="30" spans="2:19" x14ac:dyDescent="0.3">
      <c r="B30" s="24" t="s">
        <v>25</v>
      </c>
      <c r="C30" s="24"/>
      <c r="D30" s="24"/>
    </row>
    <row r="31" spans="2:19" x14ac:dyDescent="0.3"/>
    <row r="32" spans="2:19" x14ac:dyDescent="0.3"/>
    <row r="33" spans="2:19" x14ac:dyDescent="0.3"/>
    <row r="34" spans="2:19" x14ac:dyDescent="0.3"/>
    <row r="35" spans="2:19" x14ac:dyDescent="0.3"/>
    <row r="36" spans="2:19" x14ac:dyDescent="0.3"/>
    <row r="37" spans="2:19" x14ac:dyDescent="0.3">
      <c r="D37" s="12">
        <v>0.35483870967741898</v>
      </c>
    </row>
    <row r="38" spans="2:19" hidden="1" x14ac:dyDescent="0.3">
      <c r="B38" s="8"/>
      <c r="C38" s="8"/>
      <c r="D38" s="8"/>
      <c r="F38" s="8"/>
      <c r="G38" s="8"/>
      <c r="H38" s="8"/>
      <c r="J38" s="8"/>
      <c r="K38" s="8"/>
      <c r="L38" s="8"/>
      <c r="N38" s="8"/>
      <c r="O38" s="8"/>
      <c r="P38" s="8"/>
      <c r="Q38" s="8"/>
      <c r="R38" s="8"/>
      <c r="S38" s="8"/>
    </row>
  </sheetData>
  <mergeCells count="17">
    <mergeCell ref="B30:D30"/>
    <mergeCell ref="B23:D23"/>
    <mergeCell ref="B9:D9"/>
    <mergeCell ref="J23:L23"/>
    <mergeCell ref="F23:H23"/>
    <mergeCell ref="J9:L9"/>
    <mergeCell ref="F9:H9"/>
    <mergeCell ref="F16:H16"/>
    <mergeCell ref="J16:L16"/>
    <mergeCell ref="F10:G13"/>
    <mergeCell ref="J10:K13"/>
    <mergeCell ref="F17:G20"/>
    <mergeCell ref="J17:K20"/>
    <mergeCell ref="F5:G6"/>
    <mergeCell ref="F4:H4"/>
    <mergeCell ref="N4:S4"/>
    <mergeCell ref="N23:P23"/>
  </mergeCells>
  <conditionalFormatting sqref="F17:G20">
    <cfRule type="cellIs" dxfId="1" priority="1" operator="greaterThanOrEqual">
      <formula>0.5</formula>
    </cfRule>
    <cfRule type="cellIs" dxfId="0" priority="2" operator="lessThan">
      <formula>0.5</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40735-D71C-4FC4-B965-E053E2A6FC4D}">
  <dimension ref="A1:Z35"/>
  <sheetViews>
    <sheetView zoomScale="53" zoomScaleNormal="53" workbookViewId="0">
      <selection activeCell="W17" sqref="W17"/>
    </sheetView>
  </sheetViews>
  <sheetFormatPr defaultRowHeight="14.4" x14ac:dyDescent="0.3"/>
  <cols>
    <col min="1" max="1" width="8.88671875" style="5"/>
    <col min="2" max="2" width="7.6640625" bestFit="1" customWidth="1"/>
    <col min="3" max="3" width="9.77734375" bestFit="1" customWidth="1"/>
    <col min="4" max="4" width="24" bestFit="1" customWidth="1"/>
    <col min="5" max="5" width="12.109375" bestFit="1" customWidth="1"/>
    <col min="7" max="7" width="8.88671875" style="5"/>
    <col min="8" max="8" width="2.109375" customWidth="1"/>
    <col min="9" max="9" width="19.21875" bestFit="1" customWidth="1"/>
    <col min="10" max="10" width="24" bestFit="1" customWidth="1"/>
    <col min="11" max="11" width="6.88671875" bestFit="1" customWidth="1"/>
    <col min="13" max="13" width="8.88671875" style="5"/>
    <col min="15" max="15" width="19.21875" bestFit="1" customWidth="1"/>
    <col min="16" max="16" width="9.77734375" bestFit="1" customWidth="1"/>
    <col min="17" max="17" width="7.6640625" bestFit="1" customWidth="1"/>
    <col min="18" max="18" width="18.77734375" style="5" bestFit="1" customWidth="1"/>
    <col min="19" max="19" width="19.21875" bestFit="1" customWidth="1"/>
    <col min="20" max="20" width="24" bestFit="1" customWidth="1"/>
    <col min="21" max="21" width="6.88671875" bestFit="1" customWidth="1"/>
    <col min="22" max="22" width="8.88671875" style="5"/>
    <col min="23" max="23" width="19.21875" bestFit="1" customWidth="1"/>
    <col min="24" max="24" width="24" bestFit="1" customWidth="1"/>
    <col min="25" max="25" width="6.88671875" bestFit="1" customWidth="1"/>
    <col min="26" max="26" width="8.88671875" style="5"/>
  </cols>
  <sheetData>
    <row r="1" spans="2:25" x14ac:dyDescent="0.3">
      <c r="B1" t="s">
        <v>0</v>
      </c>
      <c r="C1" t="s">
        <v>1</v>
      </c>
      <c r="D1" t="s">
        <v>2</v>
      </c>
      <c r="E1" t="s">
        <v>3</v>
      </c>
    </row>
    <row r="2" spans="2:25" x14ac:dyDescent="0.3">
      <c r="B2" s="1">
        <v>22</v>
      </c>
      <c r="C2" s="1">
        <v>5</v>
      </c>
      <c r="D2" s="2">
        <v>0.22727272727272727</v>
      </c>
      <c r="E2" s="1">
        <v>17</v>
      </c>
    </row>
    <row r="3" spans="2:25" x14ac:dyDescent="0.3">
      <c r="B3" s="1"/>
      <c r="C3" s="1"/>
      <c r="D3" s="2"/>
      <c r="E3" s="1"/>
    </row>
    <row r="6" spans="2:25" x14ac:dyDescent="0.3">
      <c r="C6" s="6" t="s">
        <v>4</v>
      </c>
      <c r="I6" s="6" t="s">
        <v>13</v>
      </c>
      <c r="N6" s="6" t="s">
        <v>16</v>
      </c>
      <c r="S6" s="6" t="s">
        <v>20</v>
      </c>
      <c r="X6" s="6" t="s">
        <v>23</v>
      </c>
    </row>
    <row r="7" spans="2:25" x14ac:dyDescent="0.3">
      <c r="C7" s="3" t="s">
        <v>5</v>
      </c>
      <c r="D7" t="s">
        <v>0</v>
      </c>
      <c r="E7" t="s">
        <v>1</v>
      </c>
      <c r="I7" s="3" t="s">
        <v>5</v>
      </c>
      <c r="J7" t="s">
        <v>0</v>
      </c>
      <c r="K7" t="s">
        <v>1</v>
      </c>
      <c r="O7" s="3" t="s">
        <v>5</v>
      </c>
      <c r="P7" t="s">
        <v>2</v>
      </c>
      <c r="S7" s="3" t="s">
        <v>5</v>
      </c>
      <c r="T7" t="s">
        <v>0</v>
      </c>
      <c r="U7" t="s">
        <v>1</v>
      </c>
      <c r="W7" s="3" t="s">
        <v>5</v>
      </c>
      <c r="X7" t="s">
        <v>0</v>
      </c>
      <c r="Y7" t="s">
        <v>1</v>
      </c>
    </row>
    <row r="8" spans="2:25" x14ac:dyDescent="0.3">
      <c r="C8" s="4" t="s">
        <v>6</v>
      </c>
      <c r="D8" s="1">
        <v>22</v>
      </c>
      <c r="E8" s="1">
        <v>5</v>
      </c>
      <c r="I8" s="4" t="s">
        <v>14</v>
      </c>
      <c r="J8" s="1">
        <v>124</v>
      </c>
      <c r="K8" s="1">
        <v>27</v>
      </c>
      <c r="O8" s="4" t="s">
        <v>17</v>
      </c>
      <c r="P8" s="2">
        <v>0.34615384615384615</v>
      </c>
      <c r="S8" s="4" t="s">
        <v>21</v>
      </c>
      <c r="T8" s="1">
        <v>54</v>
      </c>
      <c r="U8" s="1">
        <v>6</v>
      </c>
      <c r="W8" s="4" t="s">
        <v>24</v>
      </c>
      <c r="X8" s="1">
        <v>132</v>
      </c>
      <c r="Y8" s="1">
        <v>67</v>
      </c>
    </row>
    <row r="9" spans="2:25" x14ac:dyDescent="0.3">
      <c r="C9" s="4" t="s">
        <v>7</v>
      </c>
      <c r="D9" s="1">
        <v>48</v>
      </c>
      <c r="E9" s="1">
        <v>20</v>
      </c>
      <c r="I9" s="4" t="s">
        <v>15</v>
      </c>
      <c r="J9" s="1">
        <v>101</v>
      </c>
      <c r="K9" s="1">
        <v>73</v>
      </c>
      <c r="O9" s="4" t="s">
        <v>19</v>
      </c>
      <c r="P9" s="2">
        <v>0.64646464646464652</v>
      </c>
      <c r="S9" s="4" t="s">
        <v>22</v>
      </c>
      <c r="T9" s="1">
        <v>171</v>
      </c>
      <c r="U9" s="1">
        <v>94</v>
      </c>
      <c r="W9" s="4" t="s">
        <v>25</v>
      </c>
      <c r="X9" s="1">
        <v>93</v>
      </c>
      <c r="Y9" s="1">
        <v>33</v>
      </c>
    </row>
    <row r="10" spans="2:25" x14ac:dyDescent="0.3">
      <c r="C10" s="4" t="s">
        <v>8</v>
      </c>
      <c r="D10" s="1">
        <v>43</v>
      </c>
      <c r="E10" s="1">
        <v>18</v>
      </c>
      <c r="I10" s="4" t="s">
        <v>12</v>
      </c>
      <c r="J10" s="1">
        <v>225</v>
      </c>
      <c r="K10" s="1">
        <v>100</v>
      </c>
      <c r="O10" s="4" t="s">
        <v>12</v>
      </c>
      <c r="P10" s="2">
        <v>0.44444444444444442</v>
      </c>
      <c r="S10" s="4" t="s">
        <v>12</v>
      </c>
      <c r="T10" s="1">
        <v>225</v>
      </c>
      <c r="U10" s="1">
        <v>100</v>
      </c>
      <c r="W10" s="4" t="s">
        <v>12</v>
      </c>
      <c r="X10" s="1">
        <v>225</v>
      </c>
      <c r="Y10" s="1">
        <v>100</v>
      </c>
    </row>
    <row r="11" spans="2:25" x14ac:dyDescent="0.3">
      <c r="C11" s="4" t="s">
        <v>9</v>
      </c>
      <c r="D11" s="1">
        <v>49</v>
      </c>
      <c r="E11" s="1">
        <v>28</v>
      </c>
    </row>
    <row r="12" spans="2:25" x14ac:dyDescent="0.3">
      <c r="C12" s="4" t="s">
        <v>10</v>
      </c>
      <c r="D12" s="1">
        <v>21</v>
      </c>
      <c r="E12" s="1">
        <v>15</v>
      </c>
    </row>
    <row r="13" spans="2:25" x14ac:dyDescent="0.3">
      <c r="C13" s="4" t="s">
        <v>11</v>
      </c>
      <c r="D13" s="1">
        <v>42</v>
      </c>
      <c r="E13" s="1">
        <v>14</v>
      </c>
    </row>
    <row r="14" spans="2:25" x14ac:dyDescent="0.3">
      <c r="C14" s="4" t="s">
        <v>12</v>
      </c>
      <c r="D14" s="1">
        <v>225</v>
      </c>
      <c r="E14" s="1">
        <v>100</v>
      </c>
    </row>
    <row r="16" spans="2:25" x14ac:dyDescent="0.3">
      <c r="I16" s="3" t="s">
        <v>5</v>
      </c>
      <c r="J16" t="s">
        <v>2</v>
      </c>
      <c r="O16" s="3" t="s">
        <v>5</v>
      </c>
      <c r="P16" t="s">
        <v>1</v>
      </c>
      <c r="Q16" t="s">
        <v>0</v>
      </c>
      <c r="R16"/>
      <c r="S16" s="3" t="s">
        <v>5</v>
      </c>
      <c r="T16" t="s">
        <v>2</v>
      </c>
      <c r="W16" s="3" t="s">
        <v>5</v>
      </c>
      <c r="X16" t="s">
        <v>2</v>
      </c>
    </row>
    <row r="17" spans="3:24" x14ac:dyDescent="0.3">
      <c r="I17" s="4" t="s">
        <v>14</v>
      </c>
      <c r="J17" s="2">
        <v>0.22727272727272727</v>
      </c>
      <c r="O17" s="4" t="s">
        <v>17</v>
      </c>
      <c r="P17" s="10"/>
      <c r="Q17" s="10"/>
      <c r="R17"/>
      <c r="S17" s="4" t="s">
        <v>22</v>
      </c>
      <c r="T17" s="2">
        <v>0.38461538461538464</v>
      </c>
      <c r="W17" s="4" t="s">
        <v>24</v>
      </c>
      <c r="X17" s="2">
        <v>5.8823529411764705E-2</v>
      </c>
    </row>
    <row r="18" spans="3:24" x14ac:dyDescent="0.3">
      <c r="C18" s="3" t="s">
        <v>5</v>
      </c>
      <c r="D18" t="s">
        <v>2</v>
      </c>
      <c r="I18" s="4" t="s">
        <v>12</v>
      </c>
      <c r="J18" s="2">
        <v>0.22727272727272727</v>
      </c>
      <c r="O18" s="11" t="s">
        <v>24</v>
      </c>
      <c r="P18" s="1"/>
      <c r="Q18" s="1">
        <v>7</v>
      </c>
      <c r="R18"/>
      <c r="S18" s="4" t="s">
        <v>12</v>
      </c>
      <c r="T18" s="2">
        <v>0.22727272727272727</v>
      </c>
      <c r="W18" s="4" t="s">
        <v>25</v>
      </c>
      <c r="X18" s="2">
        <v>0.8</v>
      </c>
    </row>
    <row r="19" spans="3:24" x14ac:dyDescent="0.3">
      <c r="C19" s="4" t="s">
        <v>6</v>
      </c>
      <c r="D19" s="2">
        <v>0.22727272727272727</v>
      </c>
      <c r="O19" s="11" t="s">
        <v>25</v>
      </c>
      <c r="P19" s="1">
        <v>4</v>
      </c>
      <c r="Q19" s="1">
        <v>5</v>
      </c>
      <c r="R19"/>
      <c r="W19" s="4" t="s">
        <v>12</v>
      </c>
      <c r="X19" s="2">
        <v>0.22727272727272727</v>
      </c>
    </row>
    <row r="20" spans="3:24" x14ac:dyDescent="0.3">
      <c r="C20" s="4" t="s">
        <v>7</v>
      </c>
      <c r="D20" s="2">
        <v>0.41666666666666669</v>
      </c>
      <c r="O20" s="4" t="s">
        <v>18</v>
      </c>
      <c r="P20" s="10"/>
      <c r="Q20" s="10"/>
      <c r="R20"/>
    </row>
    <row r="21" spans="3:24" x14ac:dyDescent="0.3">
      <c r="C21" s="4" t="s">
        <v>8</v>
      </c>
      <c r="D21" s="2">
        <v>0.41860465116279072</v>
      </c>
      <c r="O21" s="11" t="s">
        <v>24</v>
      </c>
      <c r="P21" s="1"/>
      <c r="Q21" s="1">
        <v>9</v>
      </c>
    </row>
    <row r="22" spans="3:24" x14ac:dyDescent="0.3">
      <c r="C22" s="4" t="s">
        <v>9</v>
      </c>
      <c r="D22" s="2">
        <v>0.5714285714285714</v>
      </c>
      <c r="O22" s="4" t="s">
        <v>19</v>
      </c>
      <c r="P22" s="10"/>
      <c r="Q22" s="10"/>
    </row>
    <row r="23" spans="3:24" x14ac:dyDescent="0.3">
      <c r="C23" s="4" t="s">
        <v>10</v>
      </c>
      <c r="D23" s="2">
        <v>0.7142857142857143</v>
      </c>
      <c r="O23" s="11" t="s">
        <v>24</v>
      </c>
      <c r="P23" s="1">
        <v>1</v>
      </c>
      <c r="Q23" s="1">
        <v>1</v>
      </c>
    </row>
    <row r="24" spans="3:24" x14ac:dyDescent="0.3">
      <c r="C24" s="4" t="s">
        <v>11</v>
      </c>
      <c r="D24" s="2">
        <v>0.33333333333333331</v>
      </c>
      <c r="O24" s="4" t="s">
        <v>12</v>
      </c>
      <c r="P24" s="1">
        <v>5</v>
      </c>
      <c r="Q24" s="1">
        <v>22</v>
      </c>
    </row>
    <row r="25" spans="3:24" x14ac:dyDescent="0.3">
      <c r="C25" s="4" t="s">
        <v>12</v>
      </c>
      <c r="D25" s="2">
        <v>0.44444444444444442</v>
      </c>
    </row>
    <row r="31" spans="3:24" x14ac:dyDescent="0.3">
      <c r="O31" s="3" t="s">
        <v>5</v>
      </c>
      <c r="P31" t="s">
        <v>2</v>
      </c>
      <c r="Q31" t="s">
        <v>31</v>
      </c>
    </row>
    <row r="32" spans="3:24" x14ac:dyDescent="0.3">
      <c r="O32" s="4" t="s">
        <v>17</v>
      </c>
      <c r="P32" s="2">
        <v>0.33333333333333331</v>
      </c>
      <c r="Q32" s="2">
        <v>0.66666666666666674</v>
      </c>
    </row>
    <row r="33" spans="15:17" x14ac:dyDescent="0.3">
      <c r="O33" s="4" t="s">
        <v>18</v>
      </c>
      <c r="P33" s="2"/>
      <c r="Q33" s="2">
        <v>1</v>
      </c>
    </row>
    <row r="34" spans="15:17" x14ac:dyDescent="0.3">
      <c r="O34" s="4" t="s">
        <v>19</v>
      </c>
      <c r="P34" s="2">
        <v>1</v>
      </c>
      <c r="Q34" s="2">
        <v>0</v>
      </c>
    </row>
    <row r="35" spans="15:17" x14ac:dyDescent="0.3">
      <c r="O35" s="4" t="s">
        <v>12</v>
      </c>
      <c r="P35" s="2">
        <v>0.22727272727272727</v>
      </c>
      <c r="Q35" s="2">
        <v>0.77272727272727271</v>
      </c>
    </row>
  </sheetData>
  <conditionalFormatting sqref="C18:E25">
    <cfRule type="colorScale" priority="1">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03E512-CFC2-4F7E-9E62-CE75B0E2EC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Ugwu</dc:creator>
  <cp:lastModifiedBy>Timothy Ugwu</cp:lastModifiedBy>
  <dcterms:created xsi:type="dcterms:W3CDTF">2026-04-17T12:53:26Z</dcterms:created>
  <dcterms:modified xsi:type="dcterms:W3CDTF">2026-06-05T16:59:05Z</dcterms:modified>
</cp:coreProperties>
</file>