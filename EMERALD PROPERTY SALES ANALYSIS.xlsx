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7.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user\Desktop\"/>
    </mc:Choice>
  </mc:AlternateContent>
  <xr:revisionPtr revIDLastSave="0" documentId="13_ncr:1_{17D30F70-442B-45BA-A554-49F011242532}" xr6:coauthVersionLast="47" xr6:coauthVersionMax="47" xr10:uidLastSave="{00000000-0000-0000-0000-000000000000}"/>
  <bookViews>
    <workbookView xWindow="-108" yWindow="-108" windowWidth="23256" windowHeight="12456" firstSheet="3" activeTab="7" xr2:uid="{9F1B9648-A386-4E82-8B01-8B16438A13EE}"/>
  </bookViews>
  <sheets>
    <sheet name="Sales Executive" sheetId="3" r:id="rId1"/>
    <sheet name="Gender" sheetId="4" r:id="rId2"/>
    <sheet name="Sales Status" sheetId="5" r:id="rId3"/>
    <sheet name="Branch" sheetId="6" r:id="rId4"/>
    <sheet name="Property Type" sheetId="7" r:id="rId5"/>
    <sheet name="Inspection" sheetId="8" r:id="rId6"/>
    <sheet name="EMERALD PROPERTIES SALES DATA (" sheetId="2" r:id="rId7"/>
    <sheet name="Dashboard" sheetId="1" r:id="rId8"/>
  </sheets>
  <definedNames>
    <definedName name="_xlcn.WorksheetConnection_Book2EMERALD_PROPERTIES_SALES_DATA__11" hidden="1">EMERALD_PROPERTIES_SALES_DATA__1[]</definedName>
    <definedName name="ExternalData_1" localSheetId="6" hidden="1">'EMERALD PROPERTIES SALES DATA ('!$A$1:$H$226</definedName>
    <definedName name="Slicer_Inspection">#N/A</definedName>
    <definedName name="Slicer_Product">#N/A</definedName>
    <definedName name="Slicer_Sales_Status">#N/A</definedName>
    <definedName name="Slicer_State">#N/A</definedName>
  </definedNames>
  <calcPr calcId="191029"/>
  <pivotCaches>
    <pivotCache cacheId="171" r:id="rId9"/>
    <pivotCache cacheId="174" r:id="rId10"/>
    <pivotCache cacheId="177" r:id="rId11"/>
    <pivotCache cacheId="180" r:id="rId12"/>
    <pivotCache cacheId="183" r:id="rId13"/>
    <pivotCache cacheId="186" r:id="rId14"/>
  </pivotCaches>
  <extLst>
    <ext xmlns:x14="http://schemas.microsoft.com/office/spreadsheetml/2009/9/main" uri="{876F7934-8845-4945-9796-88D515C7AA90}">
      <x14:pivotCaches>
        <pivotCache cacheId="6" r:id="rId15"/>
      </x14:pivotCaches>
    </ex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MERALD_PROPERTIES_SALES_DATA__1" name="EMERALD_PROPERTIES_SALES_DATA__1" connection="WorksheetConnection_Book2!EMERALD_PROPERTIES_SALES_DATA__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12"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C151786-EE95-401D-B1B0-B0D5298120D1}" keepAlive="1" name="Query - EMERALD PROPERTIES SALES DATA (1)" description="Connection to the 'EMERALD PROPERTIES SALES DATA (1)' query in the workbook." type="5" refreshedVersion="8" background="1" saveData="1">
    <dbPr connection="Provider=Microsoft.Mashup.OleDb.1;Data Source=$Workbook$;Location=&quot;EMERALD PROPERTIES SALES DATA (1)&quot;;Extended Properties=&quot;&quot;" command="SELECT * FROM [EMERALD PROPERTIES SALES DATA (1)]"/>
  </connection>
  <connection id="2" xr16:uid="{0EE4A848-C3C9-4165-B4BE-16A9C711830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79189D86-CEDD-4781-A99E-634E626AD199}" name="WorksheetConnection_Book2!EMERALD_PROPERTIES_SALES_DATA__1" type="102" refreshedVersion="8" minRefreshableVersion="5">
    <extLst>
      <ext xmlns:x15="http://schemas.microsoft.com/office/spreadsheetml/2010/11/main" uri="{DE250136-89BD-433C-8126-D09CA5730AF9}">
        <x15:connection id="EMERALD_PROPERTIES_SALES_DATA__1" autoDelete="1">
          <x15:rangePr sourceName="_xlcn.WorksheetConnection_Book2EMERALD_PROPERTIES_SALES_DATA__11"/>
        </x15:connection>
      </ext>
    </extLst>
  </connection>
</connections>
</file>

<file path=xl/sharedStrings.xml><?xml version="1.0" encoding="utf-8"?>
<sst xmlns="http://schemas.openxmlformats.org/spreadsheetml/2006/main" count="1621" uniqueCount="256">
  <si>
    <t>Client ID</t>
  </si>
  <si>
    <t xml:space="preserve">Client Gender </t>
  </si>
  <si>
    <t xml:space="preserve">Sales Person </t>
  </si>
  <si>
    <t xml:space="preserve">Date Given </t>
  </si>
  <si>
    <t>Sales Status</t>
  </si>
  <si>
    <t xml:space="preserve">State       </t>
  </si>
  <si>
    <t>Product</t>
  </si>
  <si>
    <t>Inspection</t>
  </si>
  <si>
    <t>1</t>
  </si>
  <si>
    <t>Female</t>
  </si>
  <si>
    <t>Olumide</t>
  </si>
  <si>
    <t>Paid</t>
  </si>
  <si>
    <t>Lagos</t>
  </si>
  <si>
    <t>Residential</t>
  </si>
  <si>
    <t>Yes</t>
  </si>
  <si>
    <t>2</t>
  </si>
  <si>
    <t>Male</t>
  </si>
  <si>
    <t>Ngozi</t>
  </si>
  <si>
    <t>Too Expensive</t>
  </si>
  <si>
    <t>Commercial</t>
  </si>
  <si>
    <t>No</t>
  </si>
  <si>
    <t>3</t>
  </si>
  <si>
    <t>Ahmed</t>
  </si>
  <si>
    <t>Not Interested</t>
  </si>
  <si>
    <t>Rivers</t>
  </si>
  <si>
    <t>4</t>
  </si>
  <si>
    <t>Funmi</t>
  </si>
  <si>
    <t>Next Time</t>
  </si>
  <si>
    <t>5</t>
  </si>
  <si>
    <t>Chukwudi</t>
  </si>
  <si>
    <t>6</t>
  </si>
  <si>
    <t>Chioma</t>
  </si>
  <si>
    <t>7</t>
  </si>
  <si>
    <t>8</t>
  </si>
  <si>
    <t>9</t>
  </si>
  <si>
    <t>Industrial</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</si>
  <si>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</si>
  <si>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</si>
  <si>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</si>
  <si>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</si>
  <si>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</si>
  <si>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</si>
  <si>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</si>
  <si>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</si>
  <si>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</si>
  <si>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</si>
  <si>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</si>
  <si>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</si>
  <si>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</si>
  <si>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</si>
  <si>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</si>
  <si>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</si>
  <si>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</si>
  <si>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</si>
  <si>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</si>
  <si>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</si>
  <si>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</si>
  <si>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</si>
  <si>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</si>
  <si>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</si>
  <si>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</si>
  <si>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</si>
  <si>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</si>
  <si>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</si>
  <si>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</si>
  <si>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</si>
  <si>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</si>
  <si>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</si>
  <si>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</si>
  <si>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</si>
  <si>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</si>
  <si>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</si>
  <si>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</si>
  <si>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</si>
  <si>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</si>
  <si>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</si>
  <si>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</si>
  <si>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</si>
  <si>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</si>
  <si>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</si>
  <si>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</si>
  <si>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</si>
  <si>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</si>
  <si>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</si>
  <si>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</si>
  <si>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</si>
  <si>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</si>
  <si>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</si>
  <si>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</si>
  <si>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</si>
  <si>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</si>
  <si>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</si>
  <si>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</si>
  <si>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</si>
  <si>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</si>
  <si>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</si>
  <si>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</si>
  <si>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</si>
  <si>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</si>
  <si>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</si>
  <si>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</si>
  <si>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</si>
  <si>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</si>
  <si>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</si>
  <si>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</si>
  <si>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</si>
  <si>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</si>
  <si>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</si>
  <si>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</si>
  <si>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</si>
  <si>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</si>
  <si>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</si>
  <si>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</si>
  <si>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</si>
  <si>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</si>
  <si>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</si>
  <si>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</si>
  <si>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</si>
  <si>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</si>
  <si>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</si>
  <si>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</si>
  <si>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</si>
  <si>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</si>
  <si>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</si>
  <si>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</si>
  <si>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</si>
  <si>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</si>
  <si>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</si>
  <si>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</si>
  <si>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</si>
  <si>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</si>
  <si>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</si>
  <si>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</si>
  <si>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</si>
  <si>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</si>
  <si>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</si>
  <si>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</si>
  <si>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</si>
  <si>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</si>
  <si>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</si>
  <si>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</si>
  <si>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</si>
  <si>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</si>
  <si>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</si>
  <si>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</si>
  <si>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</si>
  <si>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</si>
  <si>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</si>
  <si>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</si>
  <si>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</si>
  <si>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</si>
  <si>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</si>
  <si>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</si>
  <si>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</si>
  <si>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</si>
  <si>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</si>
  <si>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</si>
  <si>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</si>
  <si>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</si>
  <si>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</si>
  <si>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</si>
  <si>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</si>
  <si>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</si>
  <si>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</si>
  <si>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</si>
  <si>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</si>
  <si>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</si>
  <si>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</si>
  <si>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</si>
  <si>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</si>
  <si>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</si>
  <si>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</si>
  <si>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</si>
  <si>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</si>
  <si>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</si>
  <si>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</si>
  <si>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</si>
  <si>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</si>
  <si>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</si>
  <si>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</si>
  <si>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</si>
  <si>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</si>
  <si>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</si>
  <si>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</si>
  <si>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</si>
  <si>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</si>
  <si>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</si>
  <si>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</si>
  <si>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</si>
  <si>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</si>
  <si>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</si>
  <si>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</si>
  <si>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</si>
  <si>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</si>
  <si>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</si>
  <si>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</si>
  <si>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</si>
  <si>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</si>
  <si>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</si>
  <si>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</si>
  <si>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</si>
  <si>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</si>
  <si>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</si>
  <si>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</si>
  <si>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</si>
  <si>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</si>
  <si>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</si>
  <si>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</si>
  <si>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</si>
  <si>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</si>
  <si>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</si>
  <si>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</si>
  <si>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</si>
  <si>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</si>
  <si>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</si>
  <si>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</si>
  <si>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</si>
  <si>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</si>
  <si>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</si>
  <si>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</si>
  <si>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</si>
  <si>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</si>
  <si>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</si>
  <si>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</si>
  <si>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</si>
  <si>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</si>
  <si>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</si>
  <si>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</si>
  <si>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</si>
  <si>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</si>
  <si>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</si>
  <si>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</si>
  <si>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</si>
  <si>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</si>
  <si>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</si>
  <si>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</si>
  <si>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</si>
  <si>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</si>
  <si>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</si>
  <si>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</si>
  <si>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</si>
  <si>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</si>
  <si>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</si>
  <si>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</si>
  <si>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</si>
  <si>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</si>
  <si>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</si>
  <si>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</si>
  <si>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</si>
  <si>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</si>
  <si>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</si>
  <si>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</si>
  <si>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Row Labels</t>
  </si>
  <si>
    <t>Grand Total</t>
  </si>
  <si>
    <t>Total Leads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</si>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</sst>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b/>
      <sz val="14"/>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1" fillId="0" borderId="0" xfId="0" applyFont="1" applyAlignment="1">
      <alignment horizontal="center"/>
    </xf>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font>
        <sz val="8"/>
        <name val="Segoe UI"/>
        <family val="2"/>
        <scheme val="none"/>
      </font>
      <fill>
        <patternFill>
          <bgColor theme="0" tint="-0.14996795556505021"/>
        </patternFill>
      </fill>
      <border diagonalUp="0" diagonalDown="0">
        <left/>
        <right/>
        <top/>
        <bottom/>
        <vertical/>
        <horizontal/>
      </border>
    </dxf>
    <dxf>
      <font>
        <sz val="8"/>
        <name val="Segoe UI"/>
        <family val="2"/>
        <scheme val="none"/>
      </font>
      <fill>
        <patternFill>
          <bgColor rgb="FF6D56F6"/>
        </patternFill>
      </fill>
      <border diagonalUp="0" diagonalDown="0">
        <left/>
        <right/>
        <top/>
        <bottom/>
        <vertical/>
        <horizontal/>
      </border>
    </dxf>
  </dxfs>
  <tableStyles count="4" defaultTableStyle="TableStyleMedium2" defaultPivotStyle="PivotStyleLight16">
    <tableStyle name="Slicer Style 1" pivot="0" table="0" count="1" xr9:uid="{4EDC7D55-5F75-406B-A1B3-ADF38DC21BBF}">
      <tableStyleElement type="wholeTable" dxfId="9"/>
    </tableStyle>
    <tableStyle name="Slicer Style 2" pivot="0" table="0" count="3" xr9:uid="{1354A2FE-C6C1-45A4-8C2B-7A8FAE29FA50}">
      <tableStyleElement type="wholeTable" dxfId="8"/>
    </tableStyle>
    <tableStyle name="Slicer Style 3" pivot="0" table="0" count="1" xr9:uid="{8B5FC70E-0160-4274-A435-D46AC08508D7}"/>
    <tableStyle name="Slicer Style 4" pivot="0" table="0" count="0" xr9:uid="{18431856-F0B0-4C92-9190-385CBE8AE8BE}"/>
  </tableStyles>
  <colors>
    <mruColors>
      <color rgb="FF6D56F6"/>
    </mruColors>
  </colors>
  <extLst>
    <ext xmlns:x14="http://schemas.microsoft.com/office/spreadsheetml/2009/9/main" uri="{46F421CA-312F-682f-3DD2-61675219B42D}">
      <x14:dxfs count="3">
        <dxf>
          <fill>
            <patternFill>
              <bgColor theme="0"/>
            </patternFill>
          </fill>
        </dxf>
        <dxf>
          <fill>
            <patternFill>
              <bgColor rgb="FF6D56F6"/>
            </patternFill>
          </fill>
        </dxf>
        <dxf>
          <fill>
            <patternFill>
              <bgColor theme="0"/>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2"/>
            <x14:slicerStyleElement type="selectedItemWithData" dxfId="1"/>
          </x14:slicerStyleElements>
        </x14:slicerStyle>
        <x14:slicerStyle name="Slicer Style 3">
          <x14:slicerStyleElements>
            <x14:slicerStyleElement type="unselectedItemWithData" dxfId="0"/>
          </x14:slicerStyleElements>
        </x14:slicerStyle>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microsoft.com/office/2007/relationships/slicerCache" Target="slicerCaches/slicerCache3.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microsoft.com/office/2007/relationships/slicerCache" Target="slicerCaches/slicerCache2.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sharedStrings" Target="sharedStrings.xml"/><Relationship Id="rId10" Type="http://schemas.openxmlformats.org/officeDocument/2006/relationships/pivotCacheDefinition" Target="pivotCache/pivotCacheDefinition2.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image" Target="../media/image4.png"/><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image" Target="../media/image4.png"/><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[EMERALD PROPERTY SALES ANALYSIS.xlsx]Sales Executive!PivotTable1</c:name>
    <c:fmtId val="1"/>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Leads</a:t>
            </a:r>
            <a:r>
              <a:rPr lang="en-US" sz="1100" baseline="0"/>
              <a:t> Distribution by Sales Executive</a:t>
            </a:r>
            <a:endParaRPr lang="en-US" sz="1100"/>
          </a:p>
        </c:rich>
      </c:tx>
      <c:layout>
        <c:manualLayout>
          <c:xMode val="edge"/>
          <c:yMode val="edge"/>
          <c:x val="1.6902668416447931E-2"/>
          <c:y val="2.3148148148148147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D56F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222222222222215E-2"/>
          <c:y val="0.11615740740740743"/>
          <c:w val="0.82891185476815399"/>
          <c:h val="0.72125801983085447"/>
        </c:manualLayout>
      </c:layout>
      <c:barChart>
        <c:barDir val="col"/>
        <c:grouping val="clustered"/>
        <c:varyColors val="0"/>
        <c:ser>
          <c:idx val="0"/>
          <c:order val="0"/>
          <c:tx>
            <c:strRef>
              <c:f>'Sales Executive'!$B$3</c:f>
              <c:strCache>
                <c:ptCount val="1"/>
                <c:pt idx="0">
                  <c:v>Total</c:v>
                </c:pt>
              </c:strCache>
            </c:strRef>
          </c:tx>
          <c:spPr>
            <a:blipFill>
              <a:blip xmlns:r="http://schemas.openxmlformats.org/officeDocument/2006/relationships" r:embed="rId3"/>
              <a:stretch>
                <a:fillRect/>
              </a:stretch>
            </a:blip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Executive'!$A$4:$A$10</c:f>
              <c:strCache>
                <c:ptCount val="6"/>
                <c:pt idx="0">
                  <c:v>Ahmed</c:v>
                </c:pt>
                <c:pt idx="1">
                  <c:v>Chioma</c:v>
                </c:pt>
                <c:pt idx="2">
                  <c:v>Chukwudi</c:v>
                </c:pt>
                <c:pt idx="3">
                  <c:v>Funmi</c:v>
                </c:pt>
                <c:pt idx="4">
                  <c:v>Ngozi</c:v>
                </c:pt>
                <c:pt idx="5">
                  <c:v>Olumide</c:v>
                </c:pt>
              </c:strCache>
            </c:strRef>
          </c:cat>
          <c:val>
            <c:numRef>
              <c:f>'Sales Executive'!$B$4:$B$10</c:f>
              <c:numCache>
                <c:formatCode>General</c:formatCode>
                <c:ptCount val="6"/>
                <c:pt idx="0">
                  <c:v>22</c:v>
                </c:pt>
                <c:pt idx="1">
                  <c:v>48</c:v>
                </c:pt>
                <c:pt idx="2">
                  <c:v>43</c:v>
                </c:pt>
                <c:pt idx="3">
                  <c:v>49</c:v>
                </c:pt>
                <c:pt idx="4">
                  <c:v>21</c:v>
                </c:pt>
                <c:pt idx="5">
                  <c:v>42</c:v>
                </c:pt>
              </c:numCache>
            </c:numRef>
          </c:val>
          <c:extLst>
            <c:ext xmlns:c16="http://schemas.microsoft.com/office/drawing/2014/chart" uri="{C3380CC4-5D6E-409C-BE32-E72D297353CC}">
              <c16:uniqueId val="{00000000-85BF-4859-B734-E38BE3F9144F}"/>
            </c:ext>
          </c:extLst>
        </c:ser>
        <c:dLbls>
          <c:dLblPos val="outEnd"/>
          <c:showLegendKey val="0"/>
          <c:showVal val="1"/>
          <c:showCatName val="0"/>
          <c:showSerName val="0"/>
          <c:showPercent val="0"/>
          <c:showBubbleSize val="0"/>
        </c:dLbls>
        <c:gapWidth val="219"/>
        <c:overlap val="-27"/>
        <c:axId val="530659887"/>
        <c:axId val="530662287"/>
      </c:barChart>
      <c:catAx>
        <c:axId val="53065988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662287"/>
        <c:crosses val="autoZero"/>
        <c:auto val="1"/>
        <c:lblAlgn val="ctr"/>
        <c:lblOffset val="100"/>
        <c:noMultiLvlLbl val="0"/>
      </c:catAx>
      <c:valAx>
        <c:axId val="530662287"/>
        <c:scaling>
          <c:orientation val="minMax"/>
        </c:scaling>
        <c:delete val="1"/>
        <c:axPos val="l"/>
        <c:numFmt formatCode="General" sourceLinked="1"/>
        <c:majorTickMark val="none"/>
        <c:minorTickMark val="none"/>
        <c:tickLblPos val="nextTo"/>
        <c:crossAx val="530659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[EMERALD PROPERTY SALES ANALYSIS.xlsx]Gender!PivotTable3</c:name>
    <c:fmtId val="0"/>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Lead</a:t>
            </a:r>
            <a:r>
              <a:rPr lang="en-US" sz="1100" baseline="0"/>
              <a:t> Distribution by Gender</a:t>
            </a:r>
            <a:endParaRPr lang="en-US" sz="1100"/>
          </a:p>
        </c:rich>
      </c:tx>
      <c:layout>
        <c:manualLayout>
          <c:xMode val="edge"/>
          <c:yMode val="edge"/>
          <c:x val="7.3333333333333349E-3"/>
          <c:y val="2.3148148148148147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D56F6"/>
          </a:solidFill>
          <a:ln w="19050">
            <a:noFill/>
          </a:ln>
          <a:effectLst/>
        </c:spPr>
        <c:dLbl>
          <c:idx val="0"/>
          <c:layout>
            <c:manualLayout>
              <c:x val="-8.611111111111111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w="19050">
            <a:noFill/>
          </a:ln>
          <a:effectLst/>
        </c:spPr>
        <c:dLbl>
          <c:idx val="0"/>
          <c:layout>
            <c:manualLayout>
              <c:x val="0.1000000000000001"/>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866951006124234"/>
          <c:y val="0.21804826480023332"/>
          <c:w val="0.35377230971128609"/>
          <c:h val="0.58962051618547684"/>
        </c:manualLayout>
      </c:layout>
      <c:doughnutChart>
        <c:varyColors val="1"/>
        <c:ser>
          <c:idx val="0"/>
          <c:order val="0"/>
          <c:tx>
            <c:strRef>
              <c:f>Gender!$B$3</c:f>
              <c:strCache>
                <c:ptCount val="1"/>
                <c:pt idx="0">
                  <c:v>Total</c:v>
                </c:pt>
              </c:strCache>
            </c:strRef>
          </c:tx>
          <c:spPr>
            <a:ln>
              <a:noFill/>
            </a:ln>
          </c:spPr>
          <c:dPt>
            <c:idx val="0"/>
            <c:bubble3D val="0"/>
            <c:spPr>
              <a:solidFill>
                <a:srgbClr val="6D56F6"/>
              </a:solidFill>
              <a:ln w="19050">
                <a:noFill/>
              </a:ln>
              <a:effectLst/>
            </c:spPr>
            <c:extLst>
              <c:ext xmlns:c16="http://schemas.microsoft.com/office/drawing/2014/chart" uri="{C3380CC4-5D6E-409C-BE32-E72D297353CC}">
                <c16:uniqueId val="{00000002-25F0-4889-B165-BB63AA84CD57}"/>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25F0-4889-B165-BB63AA84CD57}"/>
              </c:ext>
            </c:extLst>
          </c:dPt>
          <c:dLbls>
            <c:dLbl>
              <c:idx val="0"/>
              <c:layout>
                <c:manualLayout>
                  <c:x val="-8.611111111111111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5F0-4889-B165-BB63AA84CD57}"/>
                </c:ext>
              </c:extLst>
            </c:dLbl>
            <c:dLbl>
              <c:idx val="1"/>
              <c:layout>
                <c:manualLayout>
                  <c:x val="0.1000000000000001"/>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5F0-4889-B165-BB63AA84CD5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Gender!$A$4:$A$6</c:f>
              <c:strCache>
                <c:ptCount val="2"/>
                <c:pt idx="0">
                  <c:v>Female</c:v>
                </c:pt>
                <c:pt idx="1">
                  <c:v>Male</c:v>
                </c:pt>
              </c:strCache>
            </c:strRef>
          </c:cat>
          <c:val>
            <c:numRef>
              <c:f>Gender!$B$4:$B$6</c:f>
              <c:numCache>
                <c:formatCode>General</c:formatCode>
                <c:ptCount val="2"/>
                <c:pt idx="0">
                  <c:v>124</c:v>
                </c:pt>
                <c:pt idx="1">
                  <c:v>101</c:v>
                </c:pt>
              </c:numCache>
            </c:numRef>
          </c:val>
          <c:extLst>
            <c:ext xmlns:c16="http://schemas.microsoft.com/office/drawing/2014/chart" uri="{C3380CC4-5D6E-409C-BE32-E72D297353CC}">
              <c16:uniqueId val="{00000000-25F0-4889-B165-BB63AA84CD57}"/>
            </c:ext>
          </c:extLst>
        </c:ser>
        <c:dLbls>
          <c:showLegendKey val="0"/>
          <c:showVal val="1"/>
          <c:showCatName val="0"/>
          <c:showSerName val="0"/>
          <c:showPercent val="0"/>
          <c:showBubbleSize val="0"/>
          <c:showLeaderLines val="1"/>
        </c:dLbls>
        <c:firstSliceAng val="167"/>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[EMERALD PROPERTY SALES ANALYSIS.xlsx]Sales Status!PivotTable4</c:name>
    <c:fmtId val="0"/>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Lead</a:t>
            </a:r>
            <a:r>
              <a:rPr lang="en-US" sz="1100" baseline="0"/>
              <a:t> Distribution by Sales Status</a:t>
            </a:r>
            <a:endParaRPr lang="en-US" sz="1100"/>
          </a:p>
        </c:rich>
      </c:tx>
      <c:layout>
        <c:manualLayout>
          <c:xMode val="edge"/>
          <c:yMode val="edge"/>
          <c:x val="1.92290026246719E-2"/>
          <c:y val="2.6595744680851064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01224846894137"/>
          <c:y val="9.7517730496453903E-2"/>
          <c:w val="0.78587664041994754"/>
          <c:h val="0.90248226950354615"/>
        </c:manualLayout>
      </c:layout>
      <c:barChart>
        <c:barDir val="bar"/>
        <c:grouping val="clustered"/>
        <c:varyColors val="0"/>
        <c:ser>
          <c:idx val="0"/>
          <c:order val="0"/>
          <c:tx>
            <c:strRef>
              <c:f>'Sales Status'!$B$3</c:f>
              <c:strCache>
                <c:ptCount val="1"/>
                <c:pt idx="0">
                  <c:v>Total</c:v>
                </c:pt>
              </c:strCache>
            </c:strRef>
          </c:tx>
          <c:spPr>
            <a:blipFill>
              <a:blip xmlns:r="http://schemas.openxmlformats.org/officeDocument/2006/relationships" r:embed="rId3"/>
              <a:stretch>
                <a:fillRect/>
              </a:stretch>
            </a:blip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Status'!$A$4:$A$8</c:f>
              <c:strCache>
                <c:ptCount val="4"/>
                <c:pt idx="0">
                  <c:v>Next Time</c:v>
                </c:pt>
                <c:pt idx="1">
                  <c:v>Not Interested</c:v>
                </c:pt>
                <c:pt idx="2">
                  <c:v>Paid</c:v>
                </c:pt>
                <c:pt idx="3">
                  <c:v>Too Expensive</c:v>
                </c:pt>
              </c:strCache>
            </c:strRef>
          </c:cat>
          <c:val>
            <c:numRef>
              <c:f>'Sales Status'!$B$4:$B$8</c:f>
              <c:numCache>
                <c:formatCode>General</c:formatCode>
                <c:ptCount val="4"/>
                <c:pt idx="0">
                  <c:v>30</c:v>
                </c:pt>
                <c:pt idx="1">
                  <c:v>57</c:v>
                </c:pt>
                <c:pt idx="2">
                  <c:v>100</c:v>
                </c:pt>
                <c:pt idx="3">
                  <c:v>38</c:v>
                </c:pt>
              </c:numCache>
            </c:numRef>
          </c:val>
          <c:extLst>
            <c:ext xmlns:c16="http://schemas.microsoft.com/office/drawing/2014/chart" uri="{C3380CC4-5D6E-409C-BE32-E72D297353CC}">
              <c16:uniqueId val="{00000000-03B6-49DB-8DE1-43EE5AB185F2}"/>
            </c:ext>
          </c:extLst>
        </c:ser>
        <c:dLbls>
          <c:dLblPos val="outEnd"/>
          <c:showLegendKey val="0"/>
          <c:showVal val="1"/>
          <c:showCatName val="0"/>
          <c:showSerName val="0"/>
          <c:showPercent val="0"/>
          <c:showBubbleSize val="0"/>
        </c:dLbls>
        <c:gapWidth val="182"/>
        <c:axId val="531394607"/>
        <c:axId val="531395087"/>
      </c:barChart>
      <c:catAx>
        <c:axId val="53139460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395087"/>
        <c:crosses val="autoZero"/>
        <c:auto val="1"/>
        <c:lblAlgn val="ctr"/>
        <c:lblOffset val="100"/>
        <c:noMultiLvlLbl val="0"/>
      </c:catAx>
      <c:valAx>
        <c:axId val="531395087"/>
        <c:scaling>
          <c:orientation val="minMax"/>
        </c:scaling>
        <c:delete val="1"/>
        <c:axPos val="b"/>
        <c:numFmt formatCode="General" sourceLinked="1"/>
        <c:majorTickMark val="none"/>
        <c:minorTickMark val="none"/>
        <c:tickLblPos val="nextTo"/>
        <c:crossAx val="531394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[EMERALD PROPERTY SALES ANALYSIS.xlsx]Branch!PivotTable5</c:name>
    <c:fmtId val="1"/>
  </c:pivotSource>
  <c:chart>
    <c:title>
      <c:tx>
        <c:rich>
          <a:bodyPr rot="0" spcFirstLastPara="1" vertOverflow="ellipsis" vert="horz" wrap="square" anchor="ctr" anchorCtr="1"/>
          <a:lstStyle/>
          <a:p>
            <a:pPr algn="l">
              <a:defRPr sz="1100" b="0" i="0" u="none" strike="noStrike" kern="1200" spc="0" baseline="0">
                <a:solidFill>
                  <a:schemeClr val="tx1">
                    <a:lumMod val="65000"/>
                    <a:lumOff val="35000"/>
                  </a:schemeClr>
                </a:solidFill>
                <a:latin typeface="+mn-lt"/>
                <a:ea typeface="+mn-ea"/>
                <a:cs typeface="+mn-cs"/>
              </a:defRPr>
            </a:pPr>
            <a:r>
              <a:rPr lang="en-US" sz="1100"/>
              <a:t>Leads</a:t>
            </a:r>
            <a:r>
              <a:rPr lang="en-US" sz="1100" baseline="0"/>
              <a:t> Distribution By Branch</a:t>
            </a:r>
            <a:endParaRPr lang="en-US" sz="1100"/>
          </a:p>
        </c:rich>
      </c:tx>
      <c:layout>
        <c:manualLayout>
          <c:xMode val="edge"/>
          <c:yMode val="edge"/>
          <c:x val="0"/>
          <c:y val="2.3148148148148147E-2"/>
        </c:manualLayout>
      </c:layout>
      <c:overlay val="0"/>
      <c:spPr>
        <a:noFill/>
        <a:ln>
          <a:noFill/>
        </a:ln>
        <a:effectLst/>
      </c:spPr>
      <c:txPr>
        <a:bodyPr rot="0" spcFirstLastPara="1" vertOverflow="ellipsis" vert="horz" wrap="square" anchor="ctr" anchorCtr="1"/>
        <a:lstStyle/>
        <a:p>
          <a:pPr algn="l">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D56F6"/>
          </a:solidFill>
          <a:ln w="19050">
            <a:noFill/>
          </a:ln>
          <a:effectLst/>
        </c:spPr>
      </c:pivotFmt>
      <c:pivotFmt>
        <c:idx val="2"/>
        <c:spPr>
          <a:solidFill>
            <a:schemeClr val="bg1">
              <a:lumMod val="85000"/>
            </a:schemeClr>
          </a:solidFill>
          <a:ln w="19050">
            <a:noFill/>
          </a:ln>
          <a:effectLst/>
        </c:spPr>
      </c:pivotFmt>
    </c:pivotFmts>
    <c:plotArea>
      <c:layout/>
      <c:pieChart>
        <c:varyColors val="1"/>
        <c:ser>
          <c:idx val="0"/>
          <c:order val="0"/>
          <c:tx>
            <c:strRef>
              <c:f>Branch!$C$2</c:f>
              <c:strCache>
                <c:ptCount val="1"/>
                <c:pt idx="0">
                  <c:v>Total</c:v>
                </c:pt>
              </c:strCache>
            </c:strRef>
          </c:tx>
          <c:spPr>
            <a:ln>
              <a:noFill/>
            </a:ln>
          </c:spPr>
          <c:dPt>
            <c:idx val="0"/>
            <c:bubble3D val="0"/>
            <c:spPr>
              <a:solidFill>
                <a:srgbClr val="6D56F6"/>
              </a:solidFill>
              <a:ln w="19050">
                <a:noFill/>
              </a:ln>
              <a:effectLst/>
            </c:spPr>
            <c:extLst>
              <c:ext xmlns:c16="http://schemas.microsoft.com/office/drawing/2014/chart" uri="{C3380CC4-5D6E-409C-BE32-E72D297353CC}">
                <c16:uniqueId val="{00000001-BA58-4E15-B2D4-8B21AB0E0655}"/>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BA58-4E15-B2D4-8B21AB0E065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Branch!$B$3:$B$5</c:f>
              <c:strCache>
                <c:ptCount val="2"/>
                <c:pt idx="0">
                  <c:v>Lagos</c:v>
                </c:pt>
                <c:pt idx="1">
                  <c:v>Rivers</c:v>
                </c:pt>
              </c:strCache>
            </c:strRef>
          </c:cat>
          <c:val>
            <c:numRef>
              <c:f>Branch!$C$3:$C$5</c:f>
              <c:numCache>
                <c:formatCode>General</c:formatCode>
                <c:ptCount val="2"/>
                <c:pt idx="0">
                  <c:v>132</c:v>
                </c:pt>
                <c:pt idx="1">
                  <c:v>93</c:v>
                </c:pt>
              </c:numCache>
            </c:numRef>
          </c:val>
          <c:extLst>
            <c:ext xmlns:c16="http://schemas.microsoft.com/office/drawing/2014/chart" uri="{C3380CC4-5D6E-409C-BE32-E72D297353CC}">
              <c16:uniqueId val="{00000000-773F-4DD8-B407-4D4A6E6DAA1D}"/>
            </c:ext>
          </c:extLst>
        </c:ser>
        <c:dLbls>
          <c:showLegendKey val="0"/>
          <c:showVal val="0"/>
          <c:showCatName val="0"/>
          <c:showSerName val="0"/>
          <c:showPercent val="0"/>
          <c:showBubbleSize val="0"/>
          <c:showLeaderLines val="1"/>
        </c:dLbls>
        <c:firstSliceAng val="167"/>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[EMERALD PROPERTY SALES ANALYSIS.xlsx]Property Type!PivotTable6</c:name>
    <c:fmtId val="2"/>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Lead</a:t>
            </a:r>
            <a:r>
              <a:rPr lang="en-US" sz="1100" baseline="0"/>
              <a:t> Distribution by Property Type</a:t>
            </a:r>
            <a:endParaRPr lang="en-US" sz="1100"/>
          </a:p>
        </c:rich>
      </c:tx>
      <c:layout>
        <c:manualLayout>
          <c:xMode val="edge"/>
          <c:yMode val="edge"/>
          <c:x val="2.1791557305336832E-2"/>
          <c:y val="2.7777777777777776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'Property Type'!$C$2</c:f>
              <c:strCache>
                <c:ptCount val="1"/>
                <c:pt idx="0">
                  <c:v>Total</c:v>
                </c:pt>
              </c:strCache>
            </c:strRef>
          </c:tx>
          <c:spPr>
            <a:blipFill>
              <a:blip xmlns:r="http://schemas.openxmlformats.org/officeDocument/2006/relationships" r:embed="rId3"/>
              <a:stretch>
                <a:fillRect/>
              </a:stretch>
            </a:blip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'Property Type'!$B$3:$B$6</c:f>
              <c:strCache>
                <c:ptCount val="3"/>
                <c:pt idx="0">
                  <c:v>Commercial</c:v>
                </c:pt>
                <c:pt idx="1">
                  <c:v>Industrial</c:v>
                </c:pt>
                <c:pt idx="2">
                  <c:v>Residential</c:v>
                </c:pt>
              </c:strCache>
            </c:strRef>
          </c:cat>
          <c:val>
            <c:numRef>
              <c:f>'Property Type'!$C$3:$C$6</c:f>
              <c:numCache>
                <c:formatCode>General</c:formatCode>
                <c:ptCount val="3"/>
                <c:pt idx="0">
                  <c:v>104</c:v>
                </c:pt>
                <c:pt idx="1">
                  <c:v>22</c:v>
                </c:pt>
                <c:pt idx="2">
                  <c:v>99</c:v>
                </c:pt>
              </c:numCache>
            </c:numRef>
          </c:val>
          <c:extLst>
            <c:ext xmlns:c16="http://schemas.microsoft.com/office/drawing/2014/chart" uri="{C3380CC4-5D6E-409C-BE32-E72D297353CC}">
              <c16:uniqueId val="{00000000-8982-404F-8C24-612722D18A87}"/>
            </c:ext>
          </c:extLst>
        </c:ser>
        <c:dLbls>
          <c:dLblPos val="outEnd"/>
          <c:showLegendKey val="0"/>
          <c:showVal val="1"/>
          <c:showCatName val="0"/>
          <c:showSerName val="0"/>
          <c:showPercent val="0"/>
          <c:showBubbleSize val="0"/>
        </c:dLbls>
        <c:gapWidth val="219"/>
        <c:overlap val="-27"/>
        <c:axId val="121579103"/>
        <c:axId val="121590623"/>
      </c:barChart>
      <c:catAx>
        <c:axId val="12157910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90623"/>
        <c:crosses val="autoZero"/>
        <c:auto val="1"/>
        <c:lblAlgn val="ctr"/>
        <c:lblOffset val="100"/>
        <c:noMultiLvlLbl val="0"/>
      </c:catAx>
      <c:valAx>
        <c:axId val="121590623"/>
        <c:scaling>
          <c:orientation val="minMax"/>
        </c:scaling>
        <c:delete val="1"/>
        <c:axPos val="l"/>
        <c:numFmt formatCode="General" sourceLinked="1"/>
        <c:majorTickMark val="none"/>
        <c:minorTickMark val="none"/>
        <c:tickLblPos val="nextTo"/>
        <c:crossAx val="12157910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[EMERALD PROPERTY SALES ANALYSIS.xlsx]Inspection!PivotTable7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Lead</a:t>
            </a:r>
            <a:r>
              <a:rPr lang="en-US" sz="1100" baseline="0"/>
              <a:t> Distribution by Inspection</a:t>
            </a:r>
            <a:endParaRPr lang="en-US" sz="1100"/>
          </a:p>
        </c:rich>
      </c:tx>
      <c:layout>
        <c:manualLayout>
          <c:xMode val="edge"/>
          <c:yMode val="edge"/>
          <c:x val="0"/>
          <c:y val="2.45391107548682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Inspection!$C$2</c:f>
              <c:strCache>
                <c:ptCount val="1"/>
                <c:pt idx="0">
                  <c:v>Total</c:v>
                </c:pt>
              </c:strCache>
            </c:strRef>
          </c:tx>
          <c:spPr>
            <a:blipFill>
              <a:blip xmlns:r="http://schemas.openxmlformats.org/officeDocument/2006/relationships" r:embed="rId3"/>
              <a:stretch>
                <a:fillRect/>
              </a:stretch>
            </a:blip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Inspection!$B$3:$B$5</c:f>
              <c:strCache>
                <c:ptCount val="2"/>
                <c:pt idx="0">
                  <c:v>No</c:v>
                </c:pt>
                <c:pt idx="1">
                  <c:v>Yes</c:v>
                </c:pt>
              </c:strCache>
            </c:strRef>
          </c:cat>
          <c:val>
            <c:numRef>
              <c:f>Inspection!$C$3:$C$5</c:f>
              <c:numCache>
                <c:formatCode>General</c:formatCode>
                <c:ptCount val="2"/>
                <c:pt idx="0">
                  <c:v>54</c:v>
                </c:pt>
                <c:pt idx="1">
                  <c:v>171</c:v>
                </c:pt>
              </c:numCache>
            </c:numRef>
          </c:val>
          <c:extLst>
            <c:ext xmlns:c16="http://schemas.microsoft.com/office/drawing/2014/chart" uri="{C3380CC4-5D6E-409C-BE32-E72D297353CC}">
              <c16:uniqueId val="{00000000-0E14-49AA-9FB7-E112C36C3315}"/>
            </c:ext>
          </c:extLst>
        </c:ser>
        <c:dLbls>
          <c:showLegendKey val="0"/>
          <c:showVal val="0"/>
          <c:showCatName val="0"/>
          <c:showSerName val="0"/>
          <c:showPercent val="0"/>
          <c:showBubbleSize val="0"/>
        </c:dLbls>
        <c:gapWidth val="182"/>
        <c:axId val="121588223"/>
        <c:axId val="121580063"/>
      </c:barChart>
      <c:catAx>
        <c:axId val="12158822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80063"/>
        <c:crosses val="autoZero"/>
        <c:auto val="1"/>
        <c:lblAlgn val="ctr"/>
        <c:lblOffset val="100"/>
        <c:noMultiLvlLbl val="0"/>
      </c:catAx>
      <c:valAx>
        <c:axId val="121580063"/>
        <c:scaling>
          <c:orientation val="minMax"/>
        </c:scaling>
        <c:delete val="1"/>
        <c:axPos val="b"/>
        <c:numFmt formatCode="General" sourceLinked="1"/>
        <c:majorTickMark val="none"/>
        <c:minorTickMark val="none"/>
        <c:tickLblPos val="nextTo"/>
        <c:crossAx val="121588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[EMERALD PROPERTY SALES ANALYSIS.xlsx]Sales Executive!PivotTable1</c:name>
    <c:fmtId val="3"/>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Leads</a:t>
            </a:r>
            <a:r>
              <a:rPr lang="en-US" sz="1100" baseline="0"/>
              <a:t> Distribution by Sales Executive</a:t>
            </a:r>
            <a:endParaRPr lang="en-US" sz="1100"/>
          </a:p>
        </c:rich>
      </c:tx>
      <c:layout>
        <c:manualLayout>
          <c:xMode val="edge"/>
          <c:yMode val="edge"/>
          <c:x val="1.6902668416447931E-2"/>
          <c:y val="2.3148148148148147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D56F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477124183006541E-2"/>
          <c:y val="0.11148117217671022"/>
          <c:w val="0.82891185476815399"/>
          <c:h val="0.72125801983085447"/>
        </c:manualLayout>
      </c:layout>
      <c:barChart>
        <c:barDir val="col"/>
        <c:grouping val="clustered"/>
        <c:varyColors val="0"/>
        <c:ser>
          <c:idx val="0"/>
          <c:order val="0"/>
          <c:tx>
            <c:strRef>
              <c:f>'Sales Executive'!$B$3</c:f>
              <c:strCache>
                <c:ptCount val="1"/>
                <c:pt idx="0">
                  <c:v>Total</c:v>
                </c:pt>
              </c:strCache>
            </c:strRef>
          </c:tx>
          <c:spPr>
            <a:blipFill>
              <a:blip xmlns:r="http://schemas.openxmlformats.org/officeDocument/2006/relationships" r:embed="rId3"/>
              <a:stretch>
                <a:fillRect/>
              </a:stretch>
            </a:blip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Executive'!$A$4:$A$10</c:f>
              <c:strCache>
                <c:ptCount val="6"/>
                <c:pt idx="0">
                  <c:v>Ahmed</c:v>
                </c:pt>
                <c:pt idx="1">
                  <c:v>Chioma</c:v>
                </c:pt>
                <c:pt idx="2">
                  <c:v>Chukwudi</c:v>
                </c:pt>
                <c:pt idx="3">
                  <c:v>Funmi</c:v>
                </c:pt>
                <c:pt idx="4">
                  <c:v>Ngozi</c:v>
                </c:pt>
                <c:pt idx="5">
                  <c:v>Olumide</c:v>
                </c:pt>
              </c:strCache>
            </c:strRef>
          </c:cat>
          <c:val>
            <c:numRef>
              <c:f>'Sales Executive'!$B$4:$B$10</c:f>
              <c:numCache>
                <c:formatCode>General</c:formatCode>
                <c:ptCount val="6"/>
                <c:pt idx="0">
                  <c:v>22</c:v>
                </c:pt>
                <c:pt idx="1">
                  <c:v>48</c:v>
                </c:pt>
                <c:pt idx="2">
                  <c:v>43</c:v>
                </c:pt>
                <c:pt idx="3">
                  <c:v>49</c:v>
                </c:pt>
                <c:pt idx="4">
                  <c:v>21</c:v>
                </c:pt>
                <c:pt idx="5">
                  <c:v>42</c:v>
                </c:pt>
              </c:numCache>
            </c:numRef>
          </c:val>
          <c:extLst>
            <c:ext xmlns:c16="http://schemas.microsoft.com/office/drawing/2014/chart" uri="{C3380CC4-5D6E-409C-BE32-E72D297353CC}">
              <c16:uniqueId val="{00000000-E27E-4233-9E25-3EE9CBC0EF65}"/>
            </c:ext>
          </c:extLst>
        </c:ser>
        <c:dLbls>
          <c:dLblPos val="outEnd"/>
          <c:showLegendKey val="0"/>
          <c:showVal val="1"/>
          <c:showCatName val="0"/>
          <c:showSerName val="0"/>
          <c:showPercent val="0"/>
          <c:showBubbleSize val="0"/>
        </c:dLbls>
        <c:gapWidth val="233"/>
        <c:overlap val="-27"/>
        <c:axId val="530659887"/>
        <c:axId val="530662287"/>
      </c:barChart>
      <c:catAx>
        <c:axId val="53065988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662287"/>
        <c:crosses val="autoZero"/>
        <c:auto val="1"/>
        <c:lblAlgn val="ctr"/>
        <c:lblOffset val="100"/>
        <c:noMultiLvlLbl val="0"/>
      </c:catAx>
      <c:valAx>
        <c:axId val="530662287"/>
        <c:scaling>
          <c:orientation val="minMax"/>
        </c:scaling>
        <c:delete val="1"/>
        <c:axPos val="l"/>
        <c:numFmt formatCode="General" sourceLinked="1"/>
        <c:majorTickMark val="none"/>
        <c:minorTickMark val="none"/>
        <c:tickLblPos val="nextTo"/>
        <c:crossAx val="530659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[EMERALD PROPERTY SALES ANALYSIS.xlsx]Sales Status!PivotTable4</c:name>
    <c:fmtId val="3"/>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Lead</a:t>
            </a:r>
            <a:r>
              <a:rPr lang="en-US" sz="1100" baseline="0"/>
              <a:t> Distribution by Sales Status</a:t>
            </a:r>
            <a:endParaRPr lang="en-US" sz="1100"/>
          </a:p>
        </c:rich>
      </c:tx>
      <c:layout>
        <c:manualLayout>
          <c:xMode val="edge"/>
          <c:yMode val="edge"/>
          <c:x val="1.105900365395502E-2"/>
          <c:y val="1.9777555515827574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73988321434195"/>
          <c:y val="8.3523622047244089E-2"/>
          <c:w val="0.78587664041994754"/>
          <c:h val="0.90248226950354615"/>
        </c:manualLayout>
      </c:layout>
      <c:barChart>
        <c:barDir val="bar"/>
        <c:grouping val="clustered"/>
        <c:varyColors val="0"/>
        <c:ser>
          <c:idx val="0"/>
          <c:order val="0"/>
          <c:tx>
            <c:strRef>
              <c:f>'Sales Status'!$B$3</c:f>
              <c:strCache>
                <c:ptCount val="1"/>
                <c:pt idx="0">
                  <c:v>Total</c:v>
                </c:pt>
              </c:strCache>
            </c:strRef>
          </c:tx>
          <c:spPr>
            <a:blipFill>
              <a:blip xmlns:r="http://schemas.openxmlformats.org/officeDocument/2006/relationships" r:embed="rId3"/>
              <a:stretch>
                <a:fillRect/>
              </a:stretch>
            </a:blip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Status'!$A$4:$A$8</c:f>
              <c:strCache>
                <c:ptCount val="4"/>
                <c:pt idx="0">
                  <c:v>Next Time</c:v>
                </c:pt>
                <c:pt idx="1">
                  <c:v>Not Interested</c:v>
                </c:pt>
                <c:pt idx="2">
                  <c:v>Paid</c:v>
                </c:pt>
                <c:pt idx="3">
                  <c:v>Too Expensive</c:v>
                </c:pt>
              </c:strCache>
            </c:strRef>
          </c:cat>
          <c:val>
            <c:numRef>
              <c:f>'Sales Status'!$B$4:$B$8</c:f>
              <c:numCache>
                <c:formatCode>General</c:formatCode>
                <c:ptCount val="4"/>
                <c:pt idx="0">
                  <c:v>30</c:v>
                </c:pt>
                <c:pt idx="1">
                  <c:v>57</c:v>
                </c:pt>
                <c:pt idx="2">
                  <c:v>100</c:v>
                </c:pt>
                <c:pt idx="3">
                  <c:v>38</c:v>
                </c:pt>
              </c:numCache>
            </c:numRef>
          </c:val>
          <c:extLst>
            <c:ext xmlns:c16="http://schemas.microsoft.com/office/drawing/2014/chart" uri="{C3380CC4-5D6E-409C-BE32-E72D297353CC}">
              <c16:uniqueId val="{00000000-6C48-4E1B-BD22-FA1BF6394183}"/>
            </c:ext>
          </c:extLst>
        </c:ser>
        <c:dLbls>
          <c:dLblPos val="outEnd"/>
          <c:showLegendKey val="0"/>
          <c:showVal val="1"/>
          <c:showCatName val="0"/>
          <c:showSerName val="0"/>
          <c:showPercent val="0"/>
          <c:showBubbleSize val="0"/>
        </c:dLbls>
        <c:gapWidth val="136"/>
        <c:axId val="531394607"/>
        <c:axId val="531395087"/>
      </c:barChart>
      <c:catAx>
        <c:axId val="53139460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395087"/>
        <c:crosses val="autoZero"/>
        <c:auto val="1"/>
        <c:lblAlgn val="ctr"/>
        <c:lblOffset val="100"/>
        <c:noMultiLvlLbl val="0"/>
      </c:catAx>
      <c:valAx>
        <c:axId val="531395087"/>
        <c:scaling>
          <c:orientation val="minMax"/>
        </c:scaling>
        <c:delete val="1"/>
        <c:axPos val="b"/>
        <c:numFmt formatCode="General" sourceLinked="1"/>
        <c:majorTickMark val="none"/>
        <c:minorTickMark val="none"/>
        <c:tickLblPos val="nextTo"/>
        <c:crossAx val="531394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[EMERALD PROPERTY SALES ANALYSIS.xlsx]Property Type!PivotTable6</c:name>
    <c:fmtId val="4"/>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Lead</a:t>
            </a:r>
            <a:r>
              <a:rPr lang="en-US" sz="1100" baseline="0"/>
              <a:t> Distribution by Property Type</a:t>
            </a:r>
            <a:endParaRPr lang="en-US" sz="1100"/>
          </a:p>
        </c:rich>
      </c:tx>
      <c:layout>
        <c:manualLayout>
          <c:xMode val="edge"/>
          <c:yMode val="edge"/>
          <c:x val="5.1251093613298333E-3"/>
          <c:y val="0"/>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'Property Type'!$C$2</c:f>
              <c:strCache>
                <c:ptCount val="1"/>
                <c:pt idx="0">
                  <c:v>Total</c:v>
                </c:pt>
              </c:strCache>
            </c:strRef>
          </c:tx>
          <c:spPr>
            <a:blipFill>
              <a:blip xmlns:r="http://schemas.openxmlformats.org/officeDocument/2006/relationships" r:embed="rId3"/>
              <a:stretch>
                <a:fillRect/>
              </a:stretch>
            </a:blip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'Property Type'!$B$3:$B$6</c:f>
              <c:strCache>
                <c:ptCount val="3"/>
                <c:pt idx="0">
                  <c:v>Commercial</c:v>
                </c:pt>
                <c:pt idx="1">
                  <c:v>Industrial</c:v>
                </c:pt>
                <c:pt idx="2">
                  <c:v>Residential</c:v>
                </c:pt>
              </c:strCache>
            </c:strRef>
          </c:cat>
          <c:val>
            <c:numRef>
              <c:f>'Property Type'!$C$3:$C$6</c:f>
              <c:numCache>
                <c:formatCode>General</c:formatCode>
                <c:ptCount val="3"/>
                <c:pt idx="0">
                  <c:v>104</c:v>
                </c:pt>
                <c:pt idx="1">
                  <c:v>22</c:v>
                </c:pt>
                <c:pt idx="2">
                  <c:v>99</c:v>
                </c:pt>
              </c:numCache>
            </c:numRef>
          </c:val>
          <c:extLst>
            <c:ext xmlns:c16="http://schemas.microsoft.com/office/drawing/2014/chart" uri="{C3380CC4-5D6E-409C-BE32-E72D297353CC}">
              <c16:uniqueId val="{00000000-943D-41D2-8D82-2494E67E93AC}"/>
            </c:ext>
          </c:extLst>
        </c:ser>
        <c:dLbls>
          <c:dLblPos val="outEnd"/>
          <c:showLegendKey val="0"/>
          <c:showVal val="1"/>
          <c:showCatName val="0"/>
          <c:showSerName val="0"/>
          <c:showPercent val="0"/>
          <c:showBubbleSize val="0"/>
        </c:dLbls>
        <c:gapWidth val="318"/>
        <c:overlap val="-27"/>
        <c:axId val="121579103"/>
        <c:axId val="121590623"/>
      </c:barChart>
      <c:catAx>
        <c:axId val="12157910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90623"/>
        <c:crosses val="autoZero"/>
        <c:auto val="1"/>
        <c:lblAlgn val="ctr"/>
        <c:lblOffset val="100"/>
        <c:noMultiLvlLbl val="0"/>
      </c:catAx>
      <c:valAx>
        <c:axId val="121590623"/>
        <c:scaling>
          <c:orientation val="minMax"/>
        </c:scaling>
        <c:delete val="1"/>
        <c:axPos val="l"/>
        <c:numFmt formatCode="General" sourceLinked="1"/>
        <c:majorTickMark val="none"/>
        <c:minorTickMark val="none"/>
        <c:tickLblPos val="nextTo"/>
        <c:crossAx val="12157910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[EMERALD PROPERTY SALES ANALYSIS.xlsx]Inspection!PivotTable7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Lead</a:t>
            </a:r>
            <a:r>
              <a:rPr lang="en-US" sz="1100" baseline="0"/>
              <a:t> Distribution by Inspection</a:t>
            </a:r>
            <a:endParaRPr lang="en-US" sz="1100"/>
          </a:p>
        </c:rich>
      </c:tx>
      <c:layout>
        <c:manualLayout>
          <c:xMode val="edge"/>
          <c:yMode val="edge"/>
          <c:x val="0"/>
          <c:y val="4.398109601858681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74380285797609"/>
          <c:y val="0.13134022309711288"/>
          <c:w val="0.89169693434785302"/>
          <c:h val="0.77628398791540787"/>
        </c:manualLayout>
      </c:layout>
      <c:barChart>
        <c:barDir val="bar"/>
        <c:grouping val="clustered"/>
        <c:varyColors val="0"/>
        <c:ser>
          <c:idx val="0"/>
          <c:order val="0"/>
          <c:tx>
            <c:strRef>
              <c:f>Inspection!$C$2</c:f>
              <c:strCache>
                <c:ptCount val="1"/>
                <c:pt idx="0">
                  <c:v>Total</c:v>
                </c:pt>
              </c:strCache>
            </c:strRef>
          </c:tx>
          <c:spPr>
            <a:blipFill>
              <a:blip xmlns:r="http://schemas.openxmlformats.org/officeDocument/2006/relationships" r:embed="rId3"/>
              <a:stretch>
                <a:fillRect/>
              </a:stretch>
            </a:blip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Inspection!$B$3:$B$5</c:f>
              <c:strCache>
                <c:ptCount val="2"/>
                <c:pt idx="0">
                  <c:v>No</c:v>
                </c:pt>
                <c:pt idx="1">
                  <c:v>Yes</c:v>
                </c:pt>
              </c:strCache>
            </c:strRef>
          </c:cat>
          <c:val>
            <c:numRef>
              <c:f>Inspection!$C$3:$C$5</c:f>
              <c:numCache>
                <c:formatCode>General</c:formatCode>
                <c:ptCount val="2"/>
                <c:pt idx="0">
                  <c:v>54</c:v>
                </c:pt>
                <c:pt idx="1">
                  <c:v>171</c:v>
                </c:pt>
              </c:numCache>
            </c:numRef>
          </c:val>
          <c:extLst>
            <c:ext xmlns:c16="http://schemas.microsoft.com/office/drawing/2014/chart" uri="{C3380CC4-5D6E-409C-BE32-E72D297353CC}">
              <c16:uniqueId val="{00000000-61E5-4AC3-877A-7086AC9C5ABA}"/>
            </c:ext>
          </c:extLst>
        </c:ser>
        <c:dLbls>
          <c:showLegendKey val="0"/>
          <c:showVal val="0"/>
          <c:showCatName val="0"/>
          <c:showSerName val="0"/>
          <c:showPercent val="0"/>
          <c:showBubbleSize val="0"/>
        </c:dLbls>
        <c:gapWidth val="372"/>
        <c:axId val="121588223"/>
        <c:axId val="121580063"/>
      </c:barChart>
      <c:catAx>
        <c:axId val="12158822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80063"/>
        <c:crosses val="autoZero"/>
        <c:auto val="1"/>
        <c:lblAlgn val="ctr"/>
        <c:lblOffset val="100"/>
        <c:noMultiLvlLbl val="0"/>
      </c:catAx>
      <c:valAx>
        <c:axId val="121580063"/>
        <c:scaling>
          <c:orientation val="minMax"/>
        </c:scaling>
        <c:delete val="1"/>
        <c:axPos val="b"/>
        <c:numFmt formatCode="General" sourceLinked="1"/>
        <c:majorTickMark val="none"/>
        <c:minorTickMark val="none"/>
        <c:tickLblPos val="nextTo"/>
        <c:crossAx val="121588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[EMERALD PROPERTY SALES ANALYSIS.xlsx]Gender!PivotTable3</c:name>
    <c:fmtId val="4"/>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Lead</a:t>
            </a:r>
            <a:r>
              <a:rPr lang="en-US" sz="1100" baseline="0"/>
              <a:t> Distribution by Gender</a:t>
            </a:r>
            <a:endParaRPr lang="en-US" sz="1100"/>
          </a:p>
        </c:rich>
      </c:tx>
      <c:layout>
        <c:manualLayout>
          <c:xMode val="edge"/>
          <c:yMode val="edge"/>
          <c:x val="7.3333333333333349E-3"/>
          <c:y val="2.3148148148148147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D56F6"/>
          </a:solidFill>
          <a:ln w="19050">
            <a:noFill/>
          </a:ln>
          <a:effectLst/>
        </c:spPr>
        <c:dLbl>
          <c:idx val="0"/>
          <c:layout>
            <c:manualLayout>
              <c:x val="-8.611111111111111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w="19050">
            <a:noFill/>
          </a:ln>
          <a:effectLst/>
        </c:spPr>
        <c:dLbl>
          <c:idx val="0"/>
          <c:layout>
            <c:manualLayout>
              <c:x val="0.1000000000000001"/>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D56F6"/>
          </a:solidFill>
          <a:ln w="19050">
            <a:noFill/>
          </a:ln>
          <a:effectLst/>
        </c:spPr>
        <c:dLbl>
          <c:idx val="0"/>
          <c:layout>
            <c:manualLayout>
              <c:x val="-8.611111111111111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w="19050">
            <a:noFill/>
          </a:ln>
          <a:effectLst/>
        </c:spPr>
        <c:dLbl>
          <c:idx val="0"/>
          <c:layout>
            <c:manualLayout>
              <c:x val="0.1000000000000001"/>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D56F6"/>
          </a:solidFill>
          <a:ln w="19050">
            <a:noFill/>
          </a:ln>
          <a:effectLst/>
        </c:spPr>
        <c:dLbl>
          <c:idx val="0"/>
          <c:layout>
            <c:manualLayout>
              <c:x val="-8.611111111111111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1">
              <a:lumMod val="85000"/>
            </a:schemeClr>
          </a:solidFill>
          <a:ln w="19050">
            <a:noFill/>
          </a:ln>
          <a:effectLst/>
        </c:spPr>
        <c:dLbl>
          <c:idx val="0"/>
          <c:layout>
            <c:manualLayout>
              <c:x val="0.1000000000000001"/>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6D56F6"/>
          </a:solidFill>
          <a:ln w="19050">
            <a:noFill/>
          </a:ln>
          <a:effectLst/>
        </c:spPr>
        <c:dLbl>
          <c:idx val="0"/>
          <c:layout>
            <c:manualLayout>
              <c:x val="-8.611111111111111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1">
              <a:lumMod val="85000"/>
            </a:schemeClr>
          </a:solidFill>
          <a:ln w="19050">
            <a:noFill/>
          </a:ln>
          <a:effectLst/>
        </c:spPr>
        <c:dLbl>
          <c:idx val="0"/>
          <c:layout>
            <c:manualLayout>
              <c:x val="0.1000000000000001"/>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6D56F6"/>
          </a:solidFill>
          <a:ln w="19050">
            <a:noFill/>
          </a:ln>
          <a:effectLst/>
        </c:spPr>
        <c:dLbl>
          <c:idx val="0"/>
          <c:layout>
            <c:manualLayout>
              <c:x val="-8.611111111111111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bg1">
              <a:lumMod val="85000"/>
            </a:schemeClr>
          </a:solidFill>
          <a:ln w="19050">
            <a:noFill/>
          </a:ln>
          <a:effectLst/>
        </c:spPr>
        <c:dLbl>
          <c:idx val="0"/>
          <c:layout>
            <c:manualLayout>
              <c:x val="0.1000000000000001"/>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866951006124234"/>
          <c:y val="0.21804826480023332"/>
          <c:w val="0.35377230971128609"/>
          <c:h val="0.58962051618547684"/>
        </c:manualLayout>
      </c:layout>
      <c:doughnutChart>
        <c:varyColors val="1"/>
        <c:ser>
          <c:idx val="0"/>
          <c:order val="0"/>
          <c:tx>
            <c:strRef>
              <c:f>Gender!$B$3</c:f>
              <c:strCache>
                <c:ptCount val="1"/>
                <c:pt idx="0">
                  <c:v>Total</c:v>
                </c:pt>
              </c:strCache>
            </c:strRef>
          </c:tx>
          <c:spPr>
            <a:ln>
              <a:noFill/>
            </a:ln>
          </c:spPr>
          <c:dPt>
            <c:idx val="0"/>
            <c:bubble3D val="0"/>
            <c:spPr>
              <a:solidFill>
                <a:srgbClr val="6D56F6"/>
              </a:solidFill>
              <a:ln w="19050">
                <a:noFill/>
              </a:ln>
              <a:effectLst/>
            </c:spPr>
            <c:extLst>
              <c:ext xmlns:c16="http://schemas.microsoft.com/office/drawing/2014/chart" uri="{C3380CC4-5D6E-409C-BE32-E72D297353CC}">
                <c16:uniqueId val="{00000001-B7D8-4B78-B60D-2C154D653AC8}"/>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B7D8-4B78-B60D-2C154D653AC8}"/>
              </c:ext>
            </c:extLst>
          </c:dPt>
          <c:dLbls>
            <c:dLbl>
              <c:idx val="0"/>
              <c:layout>
                <c:manualLayout>
                  <c:x val="-8.611111111111111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7D8-4B78-B60D-2C154D653AC8}"/>
                </c:ext>
              </c:extLst>
            </c:dLbl>
            <c:dLbl>
              <c:idx val="1"/>
              <c:layout>
                <c:manualLayout>
                  <c:x val="0.1000000000000001"/>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7D8-4B78-B60D-2C154D653AC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Gender!$A$4:$A$6</c:f>
              <c:strCache>
                <c:ptCount val="2"/>
                <c:pt idx="0">
                  <c:v>Female</c:v>
                </c:pt>
                <c:pt idx="1">
                  <c:v>Male</c:v>
                </c:pt>
              </c:strCache>
            </c:strRef>
          </c:cat>
          <c:val>
            <c:numRef>
              <c:f>Gender!$B$4:$B$6</c:f>
              <c:numCache>
                <c:formatCode>General</c:formatCode>
                <c:ptCount val="2"/>
                <c:pt idx="0">
                  <c:v>124</c:v>
                </c:pt>
                <c:pt idx="1">
                  <c:v>101</c:v>
                </c:pt>
              </c:numCache>
            </c:numRef>
          </c:val>
          <c:extLst>
            <c:ext xmlns:c16="http://schemas.microsoft.com/office/drawing/2014/chart" uri="{C3380CC4-5D6E-409C-BE32-E72D297353CC}">
              <c16:uniqueId val="{00000004-B7D8-4B78-B60D-2C154D653AC8}"/>
            </c:ext>
          </c:extLst>
        </c:ser>
        <c:dLbls>
          <c:showLegendKey val="0"/>
          <c:showVal val="1"/>
          <c:showCatName val="0"/>
          <c:showSerName val="0"/>
          <c:showPercent val="0"/>
          <c:showBubbleSize val="0"/>
          <c:showLeaderLines val="1"/>
        </c:dLbls>
        <c:firstSliceAng val="167"/>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[EMERALD PROPERTY SALES ANALYSIS.xlsx]Branch!PivotTable5</c:name>
    <c:fmtId val="7"/>
  </c:pivotSource>
  <c:chart>
    <c:title>
      <c:tx>
        <c:rich>
          <a:bodyPr rot="0" spcFirstLastPara="1" vertOverflow="ellipsis" vert="horz" wrap="square" anchor="ctr" anchorCtr="1"/>
          <a:lstStyle/>
          <a:p>
            <a:pPr algn="l">
              <a:defRPr sz="1100" b="0" i="0" u="none" strike="noStrike" kern="1200" spc="0" baseline="0">
                <a:solidFill>
                  <a:schemeClr val="tx1">
                    <a:lumMod val="65000"/>
                    <a:lumOff val="35000"/>
                  </a:schemeClr>
                </a:solidFill>
                <a:latin typeface="+mn-lt"/>
                <a:ea typeface="+mn-ea"/>
                <a:cs typeface="+mn-cs"/>
              </a:defRPr>
            </a:pPr>
            <a:r>
              <a:rPr lang="en-US" sz="1100"/>
              <a:t>Leads</a:t>
            </a:r>
            <a:r>
              <a:rPr lang="en-US" sz="1100" baseline="0"/>
              <a:t> Distribution By Branch</a:t>
            </a:r>
            <a:endParaRPr lang="en-US" sz="1100"/>
          </a:p>
        </c:rich>
      </c:tx>
      <c:layout>
        <c:manualLayout>
          <c:xMode val="edge"/>
          <c:yMode val="edge"/>
          <c:x val="0"/>
          <c:y val="2.3148148148148147E-2"/>
        </c:manualLayout>
      </c:layout>
      <c:overlay val="0"/>
      <c:spPr>
        <a:noFill/>
        <a:ln>
          <a:noFill/>
        </a:ln>
        <a:effectLst/>
      </c:spPr>
      <c:txPr>
        <a:bodyPr rot="0" spcFirstLastPara="1" vertOverflow="ellipsis" vert="horz" wrap="square" anchor="ctr" anchorCtr="1"/>
        <a:lstStyle/>
        <a:p>
          <a:pPr algn="l">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D56F6"/>
          </a:solidFill>
          <a:ln w="19050">
            <a:noFill/>
          </a:ln>
          <a:effectLst/>
        </c:spPr>
      </c:pivotFmt>
      <c:pivotFmt>
        <c:idx val="2"/>
        <c:spPr>
          <a:solidFill>
            <a:schemeClr val="bg1">
              <a:lumMod val="85000"/>
            </a:schemeClr>
          </a:solidFill>
          <a:ln w="19050">
            <a:noFill/>
          </a:ln>
          <a:effectLst/>
        </c:spPr>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D56F6"/>
          </a:solidFill>
          <a:ln w="19050">
            <a:noFill/>
          </a:ln>
          <a:effectLst/>
        </c:spPr>
      </c:pivotFmt>
      <c:pivotFmt>
        <c:idx val="5"/>
        <c:spPr>
          <a:solidFill>
            <a:schemeClr val="bg1">
              <a:lumMod val="85000"/>
            </a:schemeClr>
          </a:solidFill>
          <a:ln w="19050">
            <a:no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D56F6"/>
          </a:solidFill>
          <a:ln w="19050">
            <a:noFill/>
          </a:ln>
          <a:effectLst/>
        </c:spPr>
      </c:pivotFmt>
      <c:pivotFmt>
        <c:idx val="8"/>
        <c:spPr>
          <a:solidFill>
            <a:schemeClr val="bg1">
              <a:lumMod val="85000"/>
            </a:schemeClr>
          </a:solidFill>
          <a:ln w="19050">
            <a:noFill/>
          </a:ln>
          <a:effectLst/>
        </c:spPr>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6D56F6"/>
          </a:solidFill>
          <a:ln w="19050">
            <a:noFill/>
          </a:ln>
          <a:effectLst/>
        </c:spPr>
      </c:pivotFmt>
      <c:pivotFmt>
        <c:idx val="11"/>
        <c:spPr>
          <a:solidFill>
            <a:schemeClr val="bg1">
              <a:lumMod val="85000"/>
            </a:schemeClr>
          </a:solidFill>
          <a:ln w="19050">
            <a:noFill/>
          </a:ln>
          <a:effectLst/>
        </c:spPr>
      </c:pivotFmt>
      <c:pivotFmt>
        <c:idx val="1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6D56F6"/>
          </a:solidFill>
          <a:ln w="19050">
            <a:noFill/>
          </a:ln>
          <a:effectLst/>
        </c:spPr>
      </c:pivotFmt>
      <c:pivotFmt>
        <c:idx val="14"/>
        <c:spPr>
          <a:solidFill>
            <a:schemeClr val="bg1">
              <a:lumMod val="85000"/>
            </a:schemeClr>
          </a:solidFill>
          <a:ln w="19050">
            <a:noFill/>
          </a:ln>
          <a:effectLst/>
        </c:spPr>
      </c:pivotFmt>
    </c:pivotFmts>
    <c:plotArea>
      <c:layout/>
      <c:pieChart>
        <c:varyColors val="1"/>
        <c:ser>
          <c:idx val="0"/>
          <c:order val="0"/>
          <c:tx>
            <c:strRef>
              <c:f>Branch!$C$2</c:f>
              <c:strCache>
                <c:ptCount val="1"/>
                <c:pt idx="0">
                  <c:v>Total</c:v>
                </c:pt>
              </c:strCache>
            </c:strRef>
          </c:tx>
          <c:spPr>
            <a:ln>
              <a:noFill/>
            </a:ln>
          </c:spPr>
          <c:dPt>
            <c:idx val="0"/>
            <c:bubble3D val="0"/>
            <c:spPr>
              <a:solidFill>
                <a:srgbClr val="6D56F6"/>
              </a:solidFill>
              <a:ln w="19050">
                <a:noFill/>
              </a:ln>
              <a:effectLst/>
            </c:spPr>
            <c:extLst>
              <c:ext xmlns:c16="http://schemas.microsoft.com/office/drawing/2014/chart" uri="{C3380CC4-5D6E-409C-BE32-E72D297353CC}">
                <c16:uniqueId val="{00000001-F39B-4AF4-8340-0D2409BF8167}"/>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F39B-4AF4-8340-0D2409BF816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Branch!$B$3:$B$5</c:f>
              <c:strCache>
                <c:ptCount val="2"/>
                <c:pt idx="0">
                  <c:v>Lagos</c:v>
                </c:pt>
                <c:pt idx="1">
                  <c:v>Rivers</c:v>
                </c:pt>
              </c:strCache>
            </c:strRef>
          </c:cat>
          <c:val>
            <c:numRef>
              <c:f>Branch!$C$3:$C$5</c:f>
              <c:numCache>
                <c:formatCode>General</c:formatCode>
                <c:ptCount val="2"/>
                <c:pt idx="0">
                  <c:v>132</c:v>
                </c:pt>
                <c:pt idx="1">
                  <c:v>93</c:v>
                </c:pt>
              </c:numCache>
            </c:numRef>
          </c:val>
          <c:extLst>
            <c:ext xmlns:c16="http://schemas.microsoft.com/office/drawing/2014/chart" uri="{C3380CC4-5D6E-409C-BE32-E72D297353CC}">
              <c16:uniqueId val="{00000004-F39B-4AF4-8340-0D2409BF8167}"/>
            </c:ext>
          </c:extLst>
        </c:ser>
        <c:dLbls>
          <c:showLegendKey val="0"/>
          <c:showVal val="0"/>
          <c:showCatName val="0"/>
          <c:showSerName val="0"/>
          <c:showPercent val="0"/>
          <c:showBubbleSize val="0"/>
          <c:showLeaderLines val="1"/>
        </c:dLbls>
        <c:firstSliceAng val="167"/>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image" Target="../media/image5.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388620</xdr:colOff>
      <xdr:row>1</xdr:row>
      <xdr:rowOff>38100</xdr:rowOff>
    </xdr:from>
    <xdr:to>
      <xdr:col>11</xdr:col>
      <xdr:colOff>83820</xdr:colOff>
      <xdr:row>16</xdr:row>
      <xdr:rowOff>38100</xdr:rowOff>
    </xdr:to>
    <xdr:graphicFrame macro="">
      <xdr:nvGraphicFramePr>
        <xdr:cNvPr id="4" name="Chart 3">
          <a:extLst>
            <a:ext uri="{FF2B5EF4-FFF2-40B4-BE49-F238E27FC236}">
              <a16:creationId xmlns:a16="http://schemas.microsoft.com/office/drawing/2014/main" id="{0D25883A-E7F9-1690-B57A-546AB43D55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586740</xdr:colOff>
      <xdr:row>1</xdr:row>
      <xdr:rowOff>68580</xdr:rowOff>
    </xdr:from>
    <xdr:to>
      <xdr:col>11</xdr:col>
      <xdr:colOff>281940</xdr:colOff>
      <xdr:row>16</xdr:row>
      <xdr:rowOff>68580</xdr:rowOff>
    </xdr:to>
    <xdr:graphicFrame macro="">
      <xdr:nvGraphicFramePr>
        <xdr:cNvPr id="2" name="Chart 1">
          <a:extLst>
            <a:ext uri="{FF2B5EF4-FFF2-40B4-BE49-F238E27FC236}">
              <a16:creationId xmlns:a16="http://schemas.microsoft.com/office/drawing/2014/main" id="{7D405637-1F25-0F55-83E9-0D14282E4B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495300</xdr:colOff>
      <xdr:row>1</xdr:row>
      <xdr:rowOff>167640</xdr:rowOff>
    </xdr:from>
    <xdr:to>
      <xdr:col>11</xdr:col>
      <xdr:colOff>190500</xdr:colOff>
      <xdr:row>20</xdr:row>
      <xdr:rowOff>45720</xdr:rowOff>
    </xdr:to>
    <xdr:graphicFrame macro="">
      <xdr:nvGraphicFramePr>
        <xdr:cNvPr id="2" name="Chart 1">
          <a:extLst>
            <a:ext uri="{FF2B5EF4-FFF2-40B4-BE49-F238E27FC236}">
              <a16:creationId xmlns:a16="http://schemas.microsoft.com/office/drawing/2014/main" id="{4278DAA8-4BB2-8CB0-C529-9E683A39DD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533400</xdr:colOff>
      <xdr:row>1</xdr:row>
      <xdr:rowOff>160020</xdr:rowOff>
    </xdr:from>
    <xdr:to>
      <xdr:col>12</xdr:col>
      <xdr:colOff>228600</xdr:colOff>
      <xdr:row>16</xdr:row>
      <xdr:rowOff>160020</xdr:rowOff>
    </xdr:to>
    <xdr:graphicFrame macro="">
      <xdr:nvGraphicFramePr>
        <xdr:cNvPr id="2" name="Chart 1">
          <a:extLst>
            <a:ext uri="{FF2B5EF4-FFF2-40B4-BE49-F238E27FC236}">
              <a16:creationId xmlns:a16="http://schemas.microsoft.com/office/drawing/2014/main" id="{B9122D53-BFB7-6516-B72B-AEF6321E4F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426720</xdr:colOff>
      <xdr:row>2</xdr:row>
      <xdr:rowOff>30480</xdr:rowOff>
    </xdr:from>
    <xdr:to>
      <xdr:col>12</xdr:col>
      <xdr:colOff>121920</xdr:colOff>
      <xdr:row>17</xdr:row>
      <xdr:rowOff>30480</xdr:rowOff>
    </xdr:to>
    <xdr:graphicFrame macro="">
      <xdr:nvGraphicFramePr>
        <xdr:cNvPr id="2" name="Chart 1">
          <a:extLst>
            <a:ext uri="{FF2B5EF4-FFF2-40B4-BE49-F238E27FC236}">
              <a16:creationId xmlns:a16="http://schemas.microsoft.com/office/drawing/2014/main" id="{04703346-1E1F-FC23-2E0E-32AD32AF73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556260</xdr:colOff>
      <xdr:row>2</xdr:row>
      <xdr:rowOff>167640</xdr:rowOff>
    </xdr:from>
    <xdr:to>
      <xdr:col>12</xdr:col>
      <xdr:colOff>251460</xdr:colOff>
      <xdr:row>19</xdr:row>
      <xdr:rowOff>15240</xdr:rowOff>
    </xdr:to>
    <xdr:graphicFrame macro="">
      <xdr:nvGraphicFramePr>
        <xdr:cNvPr id="2" name="Chart 1">
          <a:extLst>
            <a:ext uri="{FF2B5EF4-FFF2-40B4-BE49-F238E27FC236}">
              <a16:creationId xmlns:a16="http://schemas.microsoft.com/office/drawing/2014/main" id="{6E43DDD5-BA99-A650-A4DE-CA09E070B2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518160</xdr:colOff>
      <xdr:row>8</xdr:row>
      <xdr:rowOff>167640</xdr:rowOff>
    </xdr:from>
    <xdr:to>
      <xdr:col>10</xdr:col>
      <xdr:colOff>518160</xdr:colOff>
      <xdr:row>23</xdr:row>
      <xdr:rowOff>5715</xdr:rowOff>
    </xdr:to>
    <mc:AlternateContent xmlns:mc="http://schemas.openxmlformats.org/markup-compatibility/2006" xmlns:a14="http://schemas.microsoft.com/office/drawing/2010/main">
      <mc:Choice Requires="a14">
        <xdr:graphicFrame macro="">
          <xdr:nvGraphicFramePr>
            <xdr:cNvPr id="3" name="Inspection">
              <a:extLst>
                <a:ext uri="{FF2B5EF4-FFF2-40B4-BE49-F238E27FC236}">
                  <a16:creationId xmlns:a16="http://schemas.microsoft.com/office/drawing/2014/main" id="{B0C15BF9-35DB-97AB-9CC3-1DDC43C1287C}"/>
                </a:ext>
              </a:extLst>
            </xdr:cNvPr>
            <xdr:cNvGraphicFramePr/>
          </xdr:nvGraphicFramePr>
          <xdr:xfrm>
            <a:off x="0" y="0"/>
            <a:ext cx="0" cy="0"/>
          </xdr:xfrm>
          <a:graphic>
            <a:graphicData uri="http://schemas.microsoft.com/office/drawing/2010/slicer">
              <sle:slicer xmlns:sle="http://schemas.microsoft.com/office/drawing/2010/slicer" name="Inspection"/>
            </a:graphicData>
          </a:graphic>
        </xdr:graphicFrame>
      </mc:Choice>
      <mc:Fallback xmlns="">
        <xdr:sp macro="" textlink="">
          <xdr:nvSpPr>
            <xdr:cNvPr id="0" name=""/>
            <xdr:cNvSpPr>
              <a:spLocks noTextEdit="1"/>
            </xdr:cNvSpPr>
          </xdr:nvSpPr>
          <xdr:spPr>
            <a:xfrm>
              <a:off x="5577840" y="16306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388620</xdr:colOff>
      <xdr:row>11</xdr:row>
      <xdr:rowOff>99060</xdr:rowOff>
    </xdr:from>
    <xdr:to>
      <xdr:col>11</xdr:col>
      <xdr:colOff>388620</xdr:colOff>
      <xdr:row>25</xdr:row>
      <xdr:rowOff>120015</xdr:rowOff>
    </xdr:to>
    <mc:AlternateContent xmlns:mc="http://schemas.openxmlformats.org/markup-compatibility/2006" xmlns:a14="http://schemas.microsoft.com/office/drawing/2010/main">
      <mc:Choice Requires="a14">
        <xdr:graphicFrame macro="">
          <xdr:nvGraphicFramePr>
            <xdr:cNvPr id="4" name="Product">
              <a:extLst>
                <a:ext uri="{FF2B5EF4-FFF2-40B4-BE49-F238E27FC236}">
                  <a16:creationId xmlns:a16="http://schemas.microsoft.com/office/drawing/2014/main" id="{60B8035E-854B-B215-CFB2-69D3BB898FD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057900" y="21107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259080</xdr:colOff>
      <xdr:row>14</xdr:row>
      <xdr:rowOff>30480</xdr:rowOff>
    </xdr:from>
    <xdr:to>
      <xdr:col>12</xdr:col>
      <xdr:colOff>259080</xdr:colOff>
      <xdr:row>28</xdr:row>
      <xdr:rowOff>51435</xdr:rowOff>
    </xdr:to>
    <mc:AlternateContent xmlns:mc="http://schemas.openxmlformats.org/markup-compatibility/2006" xmlns:a14="http://schemas.microsoft.com/office/drawing/2010/main">
      <mc:Choice Requires="a14">
        <xdr:graphicFrame macro="">
          <xdr:nvGraphicFramePr>
            <xdr:cNvPr id="5" name="Sales Status">
              <a:extLst>
                <a:ext uri="{FF2B5EF4-FFF2-40B4-BE49-F238E27FC236}">
                  <a16:creationId xmlns:a16="http://schemas.microsoft.com/office/drawing/2014/main" id="{C94FD0FB-C591-0D10-0FB6-4867E44A94FF}"/>
                </a:ext>
              </a:extLst>
            </xdr:cNvPr>
            <xdr:cNvGraphicFramePr/>
          </xdr:nvGraphicFramePr>
          <xdr:xfrm>
            <a:off x="0" y="0"/>
            <a:ext cx="0" cy="0"/>
          </xdr:xfrm>
          <a:graphic>
            <a:graphicData uri="http://schemas.microsoft.com/office/drawing/2010/slicer">
              <sle:slicer xmlns:sle="http://schemas.microsoft.com/office/drawing/2010/slicer" name="Sales Status"/>
            </a:graphicData>
          </a:graphic>
        </xdr:graphicFrame>
      </mc:Choice>
      <mc:Fallback xmlns="">
        <xdr:sp macro="" textlink="">
          <xdr:nvSpPr>
            <xdr:cNvPr id="0" name=""/>
            <xdr:cNvSpPr>
              <a:spLocks noTextEdit="1"/>
            </xdr:cNvSpPr>
          </xdr:nvSpPr>
          <xdr:spPr>
            <a:xfrm>
              <a:off x="6537960" y="25908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129540</xdr:colOff>
      <xdr:row>16</xdr:row>
      <xdr:rowOff>144780</xdr:rowOff>
    </xdr:from>
    <xdr:to>
      <xdr:col>13</xdr:col>
      <xdr:colOff>129540</xdr:colOff>
      <xdr:row>30</xdr:row>
      <xdr:rowOff>165735</xdr:rowOff>
    </xdr:to>
    <mc:AlternateContent xmlns:mc="http://schemas.openxmlformats.org/markup-compatibility/2006" xmlns:a14="http://schemas.microsoft.com/office/drawing/2010/main">
      <mc:Choice Requires="a14">
        <xdr:graphicFrame macro="">
          <xdr:nvGraphicFramePr>
            <xdr:cNvPr id="6" name="State">
              <a:extLst>
                <a:ext uri="{FF2B5EF4-FFF2-40B4-BE49-F238E27FC236}">
                  <a16:creationId xmlns:a16="http://schemas.microsoft.com/office/drawing/2014/main" id="{95962C84-77BE-C073-A0CE-AF2FEBD84F1F}"/>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7018020" y="30708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xdr:col>
      <xdr:colOff>167640</xdr:colOff>
      <xdr:row>3</xdr:row>
      <xdr:rowOff>106680</xdr:rowOff>
    </xdr:from>
    <xdr:to>
      <xdr:col>21</xdr:col>
      <xdr:colOff>358140</xdr:colOff>
      <xdr:row>38</xdr:row>
      <xdr:rowOff>167640</xdr:rowOff>
    </xdr:to>
    <xdr:sp macro="" textlink="">
      <xdr:nvSpPr>
        <xdr:cNvPr id="23" name="Rectangle: Rounded Corners 22">
          <a:extLst>
            <a:ext uri="{FF2B5EF4-FFF2-40B4-BE49-F238E27FC236}">
              <a16:creationId xmlns:a16="http://schemas.microsoft.com/office/drawing/2014/main" id="{290A1BFE-0E03-4A92-AFF3-0AFEEDEFA712}"/>
            </a:ext>
          </a:extLst>
        </xdr:cNvPr>
        <xdr:cNvSpPr/>
      </xdr:nvSpPr>
      <xdr:spPr>
        <a:xfrm>
          <a:off x="777240" y="655320"/>
          <a:ext cx="12382500" cy="6461760"/>
        </a:xfrm>
        <a:prstGeom prst="roundRect">
          <a:avLst>
            <a:gd name="adj" fmla="val 4254"/>
          </a:avLst>
        </a:prstGeom>
        <a:solidFill>
          <a:srgbClr val="6D56F6">
            <a:alpha val="1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457199</xdr:colOff>
      <xdr:row>11</xdr:row>
      <xdr:rowOff>175260</xdr:rowOff>
    </xdr:from>
    <xdr:to>
      <xdr:col>4</xdr:col>
      <xdr:colOff>351120</xdr:colOff>
      <xdr:row>37</xdr:row>
      <xdr:rowOff>30480</xdr:rowOff>
    </xdr:to>
    <xdr:sp macro="" textlink="">
      <xdr:nvSpPr>
        <xdr:cNvPr id="18" name="Rectangle 17">
          <a:extLst>
            <a:ext uri="{FF2B5EF4-FFF2-40B4-BE49-F238E27FC236}">
              <a16:creationId xmlns:a16="http://schemas.microsoft.com/office/drawing/2014/main" id="{8190504A-BA44-94DD-F4EF-943294930ABE}"/>
            </a:ext>
          </a:extLst>
        </xdr:cNvPr>
        <xdr:cNvSpPr/>
      </xdr:nvSpPr>
      <xdr:spPr>
        <a:xfrm>
          <a:off x="1066799" y="2186940"/>
          <a:ext cx="1722721" cy="4610100"/>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529590</xdr:colOff>
      <xdr:row>12</xdr:row>
      <xdr:rowOff>30480</xdr:rowOff>
    </xdr:from>
    <xdr:to>
      <xdr:col>4</xdr:col>
      <xdr:colOff>255270</xdr:colOff>
      <xdr:row>20</xdr:row>
      <xdr:rowOff>99059</xdr:rowOff>
    </xdr:to>
    <mc:AlternateContent xmlns:mc="http://schemas.openxmlformats.org/markup-compatibility/2006" xmlns:a14="http://schemas.microsoft.com/office/drawing/2010/main">
      <mc:Choice Requires="a14">
        <xdr:graphicFrame macro="">
          <xdr:nvGraphicFramePr>
            <xdr:cNvPr id="15" name="Sales Status 1">
              <a:extLst>
                <a:ext uri="{FF2B5EF4-FFF2-40B4-BE49-F238E27FC236}">
                  <a16:creationId xmlns:a16="http://schemas.microsoft.com/office/drawing/2014/main" id="{2B544022-9CFB-434B-8AD1-0E64C1F88338}"/>
                </a:ext>
              </a:extLst>
            </xdr:cNvPr>
            <xdr:cNvGraphicFramePr/>
          </xdr:nvGraphicFramePr>
          <xdr:xfrm>
            <a:off x="0" y="0"/>
            <a:ext cx="0" cy="0"/>
          </xdr:xfrm>
          <a:graphic>
            <a:graphicData uri="http://schemas.microsoft.com/office/drawing/2010/slicer">
              <sle:slicer xmlns:sle="http://schemas.microsoft.com/office/drawing/2010/slicer" name="Sales Status 1"/>
            </a:graphicData>
          </a:graphic>
        </xdr:graphicFrame>
      </mc:Choice>
      <mc:Fallback xmlns="">
        <xdr:sp macro="" textlink="">
          <xdr:nvSpPr>
            <xdr:cNvPr id="0" name=""/>
            <xdr:cNvSpPr>
              <a:spLocks noTextEdit="1"/>
            </xdr:cNvSpPr>
          </xdr:nvSpPr>
          <xdr:spPr>
            <a:xfrm>
              <a:off x="1139190" y="2225040"/>
              <a:ext cx="1554480" cy="1531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464820</xdr:colOff>
      <xdr:row>5</xdr:row>
      <xdr:rowOff>45720</xdr:rowOff>
    </xdr:from>
    <xdr:to>
      <xdr:col>21</xdr:col>
      <xdr:colOff>22860</xdr:colOff>
      <xdr:row>11</xdr:row>
      <xdr:rowOff>137160</xdr:rowOff>
    </xdr:to>
    <xdr:sp macro="" textlink="">
      <xdr:nvSpPr>
        <xdr:cNvPr id="17" name="Rectangle 16">
          <a:extLst>
            <a:ext uri="{FF2B5EF4-FFF2-40B4-BE49-F238E27FC236}">
              <a16:creationId xmlns:a16="http://schemas.microsoft.com/office/drawing/2014/main" id="{C938647A-7C43-18EE-9F49-C2C5B3EF77AE}"/>
            </a:ext>
          </a:extLst>
        </xdr:cNvPr>
        <xdr:cNvSpPr/>
      </xdr:nvSpPr>
      <xdr:spPr>
        <a:xfrm>
          <a:off x="1074420" y="960120"/>
          <a:ext cx="11750040" cy="1188720"/>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24554</xdr:colOff>
      <xdr:row>11</xdr:row>
      <xdr:rowOff>160017</xdr:rowOff>
    </xdr:from>
    <xdr:to>
      <xdr:col>15</xdr:col>
      <xdr:colOff>396240</xdr:colOff>
      <xdr:row>24</xdr:row>
      <xdr:rowOff>68577</xdr:rowOff>
    </xdr:to>
    <xdr:graphicFrame macro="">
      <xdr:nvGraphicFramePr>
        <xdr:cNvPr id="2" name="Chart 1">
          <a:extLst>
            <a:ext uri="{FF2B5EF4-FFF2-40B4-BE49-F238E27FC236}">
              <a16:creationId xmlns:a16="http://schemas.microsoft.com/office/drawing/2014/main" id="{1E123D98-8A2F-4931-9AAF-6E7D8489D3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24554</xdr:colOff>
      <xdr:row>24</xdr:row>
      <xdr:rowOff>121920</xdr:rowOff>
    </xdr:from>
    <xdr:to>
      <xdr:col>15</xdr:col>
      <xdr:colOff>396410</xdr:colOff>
      <xdr:row>37</xdr:row>
      <xdr:rowOff>30480</xdr:rowOff>
    </xdr:to>
    <xdr:graphicFrame macro="">
      <xdr:nvGraphicFramePr>
        <xdr:cNvPr id="4" name="Chart 3">
          <a:extLst>
            <a:ext uri="{FF2B5EF4-FFF2-40B4-BE49-F238E27FC236}">
              <a16:creationId xmlns:a16="http://schemas.microsoft.com/office/drawing/2014/main" id="{0819F106-C7C7-4498-9CD8-0EE9864EDE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474980</xdr:colOff>
      <xdr:row>24</xdr:row>
      <xdr:rowOff>121920</xdr:rowOff>
    </xdr:from>
    <xdr:to>
      <xdr:col>21</xdr:col>
      <xdr:colOff>17780</xdr:colOff>
      <xdr:row>37</xdr:row>
      <xdr:rowOff>30480</xdr:rowOff>
    </xdr:to>
    <xdr:graphicFrame macro="">
      <xdr:nvGraphicFramePr>
        <xdr:cNvPr id="6" name="Chart 5">
          <a:extLst>
            <a:ext uri="{FF2B5EF4-FFF2-40B4-BE49-F238E27FC236}">
              <a16:creationId xmlns:a16="http://schemas.microsoft.com/office/drawing/2014/main" id="{E27C2374-217D-4237-BC8C-FFD9EF5A7A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474980</xdr:colOff>
      <xdr:row>11</xdr:row>
      <xdr:rowOff>160866</xdr:rowOff>
    </xdr:from>
    <xdr:to>
      <xdr:col>21</xdr:col>
      <xdr:colOff>17780</xdr:colOff>
      <xdr:row>24</xdr:row>
      <xdr:rowOff>69426</xdr:rowOff>
    </xdr:to>
    <xdr:graphicFrame macro="">
      <xdr:nvGraphicFramePr>
        <xdr:cNvPr id="10" name="Chart 9">
          <a:extLst>
            <a:ext uri="{FF2B5EF4-FFF2-40B4-BE49-F238E27FC236}">
              <a16:creationId xmlns:a16="http://schemas.microsoft.com/office/drawing/2014/main" id="{1E05810E-662F-0708-CAFF-C7CDD6D4A2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412327</xdr:colOff>
      <xdr:row>11</xdr:row>
      <xdr:rowOff>163406</xdr:rowOff>
    </xdr:from>
    <xdr:to>
      <xdr:col>9</xdr:col>
      <xdr:colOff>564727</xdr:colOff>
      <xdr:row>24</xdr:row>
      <xdr:rowOff>71966</xdr:rowOff>
    </xdr:to>
    <xdr:graphicFrame macro="">
      <xdr:nvGraphicFramePr>
        <xdr:cNvPr id="11" name="Chart 10">
          <a:extLst>
            <a:ext uri="{FF2B5EF4-FFF2-40B4-BE49-F238E27FC236}">
              <a16:creationId xmlns:a16="http://schemas.microsoft.com/office/drawing/2014/main" id="{0E199771-CC0B-F882-1A30-94DD94EE14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412327</xdr:colOff>
      <xdr:row>24</xdr:row>
      <xdr:rowOff>121920</xdr:rowOff>
    </xdr:from>
    <xdr:to>
      <xdr:col>9</xdr:col>
      <xdr:colOff>564727</xdr:colOff>
      <xdr:row>37</xdr:row>
      <xdr:rowOff>30480</xdr:rowOff>
    </xdr:to>
    <xdr:graphicFrame macro="">
      <xdr:nvGraphicFramePr>
        <xdr:cNvPr id="12" name="Chart 11">
          <a:extLst>
            <a:ext uri="{FF2B5EF4-FFF2-40B4-BE49-F238E27FC236}">
              <a16:creationId xmlns:a16="http://schemas.microsoft.com/office/drawing/2014/main" id="{80732EB2-B246-616E-27D3-5CA241A9A7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529590</xdr:colOff>
      <xdr:row>28</xdr:row>
      <xdr:rowOff>129540</xdr:rowOff>
    </xdr:from>
    <xdr:to>
      <xdr:col>4</xdr:col>
      <xdr:colOff>255270</xdr:colOff>
      <xdr:row>36</xdr:row>
      <xdr:rowOff>121920</xdr:rowOff>
    </xdr:to>
    <mc:AlternateContent xmlns:mc="http://schemas.openxmlformats.org/markup-compatibility/2006" xmlns:a14="http://schemas.microsoft.com/office/drawing/2010/main">
      <mc:Choice Requires="a14">
        <xdr:graphicFrame macro="">
          <xdr:nvGraphicFramePr>
            <xdr:cNvPr id="13" name="Inspection 1">
              <a:extLst>
                <a:ext uri="{FF2B5EF4-FFF2-40B4-BE49-F238E27FC236}">
                  <a16:creationId xmlns:a16="http://schemas.microsoft.com/office/drawing/2014/main" id="{2D6D1154-40A8-49F4-858A-E59812C790B0}"/>
                </a:ext>
              </a:extLst>
            </xdr:cNvPr>
            <xdr:cNvGraphicFramePr/>
          </xdr:nvGraphicFramePr>
          <xdr:xfrm>
            <a:off x="0" y="0"/>
            <a:ext cx="0" cy="0"/>
          </xdr:xfrm>
          <a:graphic>
            <a:graphicData uri="http://schemas.microsoft.com/office/drawing/2010/slicer">
              <sle:slicer xmlns:sle="http://schemas.microsoft.com/office/drawing/2010/slicer" name="Inspection 1"/>
            </a:graphicData>
          </a:graphic>
        </xdr:graphicFrame>
      </mc:Choice>
      <mc:Fallback xmlns="">
        <xdr:sp macro="" textlink="">
          <xdr:nvSpPr>
            <xdr:cNvPr id="0" name=""/>
            <xdr:cNvSpPr>
              <a:spLocks noTextEdit="1"/>
            </xdr:cNvSpPr>
          </xdr:nvSpPr>
          <xdr:spPr>
            <a:xfrm>
              <a:off x="1139190" y="5250180"/>
              <a:ext cx="1554480" cy="1455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274320</xdr:colOff>
      <xdr:row>5</xdr:row>
      <xdr:rowOff>160020</xdr:rowOff>
    </xdr:from>
    <xdr:to>
      <xdr:col>20</xdr:col>
      <xdr:colOff>594360</xdr:colOff>
      <xdr:row>10</xdr:row>
      <xdr:rowOff>53340</xdr:rowOff>
    </xdr:to>
    <mc:AlternateContent xmlns:mc="http://schemas.openxmlformats.org/markup-compatibility/2006" xmlns:a14="http://schemas.microsoft.com/office/drawing/2010/main">
      <mc:Choice Requires="a14">
        <xdr:graphicFrame macro="">
          <xdr:nvGraphicFramePr>
            <xdr:cNvPr id="14" name="Product 1">
              <a:extLst>
                <a:ext uri="{FF2B5EF4-FFF2-40B4-BE49-F238E27FC236}">
                  <a16:creationId xmlns:a16="http://schemas.microsoft.com/office/drawing/2014/main" id="{5C9B7FD9-863F-4D4D-B2F1-8F02003C9238}"/>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8808720" y="1074420"/>
              <a:ext cx="3977640" cy="807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529590</xdr:colOff>
      <xdr:row>21</xdr:row>
      <xdr:rowOff>0</xdr:rowOff>
    </xdr:from>
    <xdr:to>
      <xdr:col>4</xdr:col>
      <xdr:colOff>255270</xdr:colOff>
      <xdr:row>28</xdr:row>
      <xdr:rowOff>38099</xdr:rowOff>
    </xdr:to>
    <mc:AlternateContent xmlns:mc="http://schemas.openxmlformats.org/markup-compatibility/2006" xmlns:a14="http://schemas.microsoft.com/office/drawing/2010/main">
      <mc:Choice Requires="a14">
        <xdr:graphicFrame macro="">
          <xdr:nvGraphicFramePr>
            <xdr:cNvPr id="16" name="State 1">
              <a:extLst>
                <a:ext uri="{FF2B5EF4-FFF2-40B4-BE49-F238E27FC236}">
                  <a16:creationId xmlns:a16="http://schemas.microsoft.com/office/drawing/2014/main" id="{0006ABDE-6FA2-425E-96FF-7D1F3CD9D5DD}"/>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139190" y="3840480"/>
              <a:ext cx="1554480" cy="13182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114300</xdr:colOff>
      <xdr:row>6</xdr:row>
      <xdr:rowOff>45720</xdr:rowOff>
    </xdr:from>
    <xdr:to>
      <xdr:col>11</xdr:col>
      <xdr:colOff>243840</xdr:colOff>
      <xdr:row>9</xdr:row>
      <xdr:rowOff>30480</xdr:rowOff>
    </xdr:to>
    <xdr:sp macro="" textlink="">
      <xdr:nvSpPr>
        <xdr:cNvPr id="3" name="TextBox 2">
          <a:extLst>
            <a:ext uri="{FF2B5EF4-FFF2-40B4-BE49-F238E27FC236}">
              <a16:creationId xmlns:a16="http://schemas.microsoft.com/office/drawing/2014/main" id="{C9FEDBED-5479-DAEC-98C1-DBADCA27CC13}"/>
            </a:ext>
          </a:extLst>
        </xdr:cNvPr>
        <xdr:cNvSpPr txBox="1"/>
      </xdr:nvSpPr>
      <xdr:spPr>
        <a:xfrm>
          <a:off x="3771900" y="1143000"/>
          <a:ext cx="317754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a:solidFill>
                <a:srgbClr val="6D56F6"/>
              </a:solidFill>
            </a:rPr>
            <a:t>Leads DIstribution Dashboard</a:t>
          </a:r>
          <a:r>
            <a:rPr lang="en-US" sz="1600" b="1" baseline="0">
              <a:solidFill>
                <a:srgbClr val="6D56F6"/>
              </a:solidFill>
            </a:rPr>
            <a:t> </a:t>
          </a:r>
        </a:p>
        <a:p>
          <a:pPr algn="l"/>
          <a:r>
            <a:rPr lang="en-US" sz="1200" b="0" baseline="0">
              <a:solidFill>
                <a:schemeClr val="tx1"/>
              </a:solidFill>
            </a:rPr>
            <a:t>Showing Lead Value For August 2023</a:t>
          </a:r>
          <a:endParaRPr lang="en-US" sz="1200" b="0">
            <a:solidFill>
              <a:schemeClr val="tx1"/>
            </a:solidFill>
          </a:endParaRPr>
        </a:p>
      </xdr:txBody>
    </xdr:sp>
    <xdr:clientData/>
  </xdr:twoCellAnchor>
  <xdr:twoCellAnchor>
    <xdr:from>
      <xdr:col>11</xdr:col>
      <xdr:colOff>198120</xdr:colOff>
      <xdr:row>7</xdr:row>
      <xdr:rowOff>167640</xdr:rowOff>
    </xdr:from>
    <xdr:to>
      <xdr:col>13</xdr:col>
      <xdr:colOff>129540</xdr:colOff>
      <xdr:row>10</xdr:row>
      <xdr:rowOff>38100</xdr:rowOff>
    </xdr:to>
    <xdr:sp macro="" textlink="Branch!O12">
      <xdr:nvSpPr>
        <xdr:cNvPr id="7" name="TextBox 6">
          <a:extLst>
            <a:ext uri="{FF2B5EF4-FFF2-40B4-BE49-F238E27FC236}">
              <a16:creationId xmlns:a16="http://schemas.microsoft.com/office/drawing/2014/main" id="{3E0CA3CA-24B3-E92D-F3C2-E0A01EDAEACC}"/>
            </a:ext>
          </a:extLst>
        </xdr:cNvPr>
        <xdr:cNvSpPr txBox="1"/>
      </xdr:nvSpPr>
      <xdr:spPr>
        <a:xfrm>
          <a:off x="6903720" y="1447800"/>
          <a:ext cx="115062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08A922-9D02-485A-BF1A-AAE57A7A8645}" type="TxLink">
            <a:rPr lang="en-US" sz="1400" b="1" i="0" u="none" strike="noStrike">
              <a:solidFill>
                <a:srgbClr val="000000"/>
              </a:solidFill>
              <a:latin typeface="Aptos Narrow"/>
            </a:rPr>
            <a:pPr algn="ctr"/>
            <a:t>225</a:t>
          </a:fld>
          <a:endParaRPr lang="en-US" sz="1100"/>
        </a:p>
      </xdr:txBody>
    </xdr:sp>
    <xdr:clientData/>
  </xdr:twoCellAnchor>
  <xdr:twoCellAnchor>
    <xdr:from>
      <xdr:col>10</xdr:col>
      <xdr:colOff>579120</xdr:colOff>
      <xdr:row>6</xdr:row>
      <xdr:rowOff>38100</xdr:rowOff>
    </xdr:from>
    <xdr:to>
      <xdr:col>13</xdr:col>
      <xdr:colOff>365760</xdr:colOff>
      <xdr:row>8</xdr:row>
      <xdr:rowOff>30480</xdr:rowOff>
    </xdr:to>
    <xdr:sp macro="" textlink="">
      <xdr:nvSpPr>
        <xdr:cNvPr id="8" name="TextBox 7">
          <a:extLst>
            <a:ext uri="{FF2B5EF4-FFF2-40B4-BE49-F238E27FC236}">
              <a16:creationId xmlns:a16="http://schemas.microsoft.com/office/drawing/2014/main" id="{50F1ADAE-A5FF-D679-A460-0C4ABBAB3675}"/>
            </a:ext>
          </a:extLst>
        </xdr:cNvPr>
        <xdr:cNvSpPr txBox="1"/>
      </xdr:nvSpPr>
      <xdr:spPr>
        <a:xfrm>
          <a:off x="6675120" y="1135380"/>
          <a:ext cx="161544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rgbClr val="6D56F6"/>
              </a:solidFill>
            </a:rPr>
            <a:t>Number Of Leads</a:t>
          </a:r>
        </a:p>
      </xdr:txBody>
    </xdr:sp>
    <xdr:clientData/>
  </xdr:twoCellAnchor>
  <xdr:twoCellAnchor editAs="oneCell">
    <xdr:from>
      <xdr:col>2</xdr:col>
      <xdr:colOff>7620</xdr:colOff>
      <xdr:row>5</xdr:row>
      <xdr:rowOff>129540</xdr:rowOff>
    </xdr:from>
    <xdr:to>
      <xdr:col>3</xdr:col>
      <xdr:colOff>388620</xdr:colOff>
      <xdr:row>10</xdr:row>
      <xdr:rowOff>160020</xdr:rowOff>
    </xdr:to>
    <xdr:pic>
      <xdr:nvPicPr>
        <xdr:cNvPr id="19" name="Picture 18">
          <a:extLst>
            <a:ext uri="{FF2B5EF4-FFF2-40B4-BE49-F238E27FC236}">
              <a16:creationId xmlns:a16="http://schemas.microsoft.com/office/drawing/2014/main" id="{6E4CAA25-EB5F-D526-DC09-236D7B60906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226820" y="1043940"/>
          <a:ext cx="990600" cy="944880"/>
        </a:xfrm>
        <a:prstGeom prst="rect">
          <a:avLst/>
        </a:prstGeom>
      </xdr:spPr>
    </xdr:pic>
    <xdr:clientData/>
  </xdr:twoCellAnchor>
  <xdr:twoCellAnchor>
    <xdr:from>
      <xdr:col>3</xdr:col>
      <xdr:colOff>342900</xdr:colOff>
      <xdr:row>6</xdr:row>
      <xdr:rowOff>60960</xdr:rowOff>
    </xdr:from>
    <xdr:to>
      <xdr:col>5</xdr:col>
      <xdr:colOff>182880</xdr:colOff>
      <xdr:row>11</xdr:row>
      <xdr:rowOff>114300</xdr:rowOff>
    </xdr:to>
    <xdr:sp macro="" textlink="">
      <xdr:nvSpPr>
        <xdr:cNvPr id="20" name="TextBox 19">
          <a:extLst>
            <a:ext uri="{FF2B5EF4-FFF2-40B4-BE49-F238E27FC236}">
              <a16:creationId xmlns:a16="http://schemas.microsoft.com/office/drawing/2014/main" id="{92292FE6-6AA7-D2EA-0806-2C1F27F47924}"/>
            </a:ext>
          </a:extLst>
        </xdr:cNvPr>
        <xdr:cNvSpPr txBox="1"/>
      </xdr:nvSpPr>
      <xdr:spPr>
        <a:xfrm>
          <a:off x="2171700" y="1158240"/>
          <a:ext cx="1059180" cy="967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baseline="0">
              <a:solidFill>
                <a:srgbClr val="6D56F6"/>
              </a:solidFill>
            </a:rPr>
            <a:t>Emerald</a:t>
          </a:r>
          <a:r>
            <a:rPr lang="en-US" sz="1600" b="1" baseline="0">
              <a:solidFill>
                <a:srgbClr val="6D56F6"/>
              </a:solidFill>
            </a:rPr>
            <a:t> </a:t>
          </a:r>
        </a:p>
        <a:p>
          <a:pPr algn="l"/>
          <a:r>
            <a:rPr lang="en-US" sz="1600" b="0" baseline="0">
              <a:solidFill>
                <a:srgbClr val="6D56F6"/>
              </a:solidFill>
            </a:rPr>
            <a:t>Properties</a:t>
          </a:r>
        </a:p>
        <a:p>
          <a:pPr algn="l"/>
          <a:r>
            <a:rPr lang="en-US" sz="1600" b="0" baseline="0">
              <a:solidFill>
                <a:srgbClr val="6D56F6"/>
              </a:solidFill>
            </a:rPr>
            <a:t>Limited</a:t>
          </a:r>
          <a:endParaRPr lang="en-US" sz="1600" b="0">
            <a:solidFill>
              <a:srgbClr val="6D56F6"/>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1.607192361109" backgroundQuery="1" createdVersion="8" refreshedVersion="8" minRefreshableVersion="3" recordCount="0" supportSubquery="1" supportAdvancedDrill="1" xr:uid="{AFD0A064-6FBD-400A-B086-D40009F5177A}">
  <cacheSource type="external" connectionId="2"/>
  <cacheFields count="3">
    <cacheField name="[Measures].[Total Leads]" caption="Total Leads" numFmtId="0" hierarchy="9" level="32767"/>
    <cacheField name="[EMERALD_PROPERTIES_SALES_DATA__1].[Inspection].[Inspection]" caption="Inspection" numFmtId="0" hierarchy="7" level="1">
      <sharedItems count="2">
        <s v="No"/>
        <s v="Yes"/>
      </sharedItems>
    </cacheField>
    <cacheField name="[EMERALD_PROPERTIES_SALES_DATA__1].[Sales Status].[Sales Status]" caption="Sales Status" numFmtId="0" hierarchy="4" level="1">
      <sharedItems containsSemiMixedTypes="0" containsNonDate="0" containsString="0"/>
    </cacheField>
  </cacheFields>
  <cacheHierarchies count="12">
    <cacheHierarchy uniqueName="[EMERALD_PROPERTIES_SALES_DATA__1].[Client ID]" caption="Client ID" attribute="1" defaultMemberUniqueName="[EMERALD_PROPERTIES_SALES_DATA__1].[Client ID].[All]" allUniqueName="[EMERALD_PROPERTIES_SALES_DATA__1].[Client ID].[All]" dimensionUniqueName="[EMERALD_PROPERTIES_SALES_DATA__1]" displayFolder="" count="2" memberValueDatatype="130" unbalanced="0"/>
    <cacheHierarchy uniqueName="[EMERALD_PROPERTIES_SALES_DATA__1].[Client Gender]" caption="Client Gender" attribute="1" defaultMemberUniqueName="[EMERALD_PROPERTIES_SALES_DATA__1].[Client Gender].[All]" allUniqueName="[EMERALD_PROPERTIES_SALES_DATA__1].[Client Gender].[All]" dimensionUniqueName="[EMERALD_PROPERTIES_SALES_DATA__1]" displayFolder="" count="2" memberValueDatatype="130" unbalanced="0"/>
    <cacheHierarchy uniqueName="[EMERALD_PROPERTIES_SALES_DATA__1].[Sales Person]" caption="Sales Person" attribute="1" defaultMemberUniqueName="[EMERALD_PROPERTIES_SALES_DATA__1].[Sales Person].[All]" allUniqueName="[EMERALD_PROPERTIES_SALES_DATA__1].[Sales Person].[All]" dimensionUniqueName="[EMERALD_PROPERTIES_SALES_DATA__1]" displayFolder="" count="2" memberValueDatatype="130" unbalanced="0"/>
    <cacheHierarchy uniqueName="[EMERALD_PROPERTIES_SALES_DATA__1].[Date Given]" caption="Date Given" attribute="1" time="1" defaultMemberUniqueName="[EMERALD_PROPERTIES_SALES_DATA__1].[Date Given].[All]" allUniqueName="[EMERALD_PROPERTIES_SALES_DATA__1].[Date Given].[All]" dimensionUniqueName="[EMERALD_PROPERTIES_SALES_DATA__1]" displayFolder="" count="2" memberValueDatatype="7" unbalanced="0"/>
    <cacheHierarchy uniqueName="[EMERALD_PROPERTIES_SALES_DATA__1].[Sales Status]" caption="Sales Status" attribute="1" defaultMemberUniqueName="[EMERALD_PROPERTIES_SALES_DATA__1].[Sales Status].[All]" allUniqueName="[EMERALD_PROPERTIES_SALES_DATA__1].[Sales Status].[All]" dimensionUniqueName="[EMERALD_PROPERTIES_SALES_DATA__1]" displayFolder="" count="2" memberValueDatatype="130" unbalanced="0">
      <fieldsUsage count="2">
        <fieldUsage x="-1"/>
        <fieldUsage x="2"/>
      </fieldsUsage>
    </cacheHierarchy>
    <cacheHierarchy uniqueName="[EMERALD_PROPERTIES_SALES_DATA__1].[State]" caption="State" attribute="1" defaultMemberUniqueName="[EMERALD_PROPERTIES_SALES_DATA__1].[State].[All]" allUniqueName="[EMERALD_PROPERTIES_SALES_DATA__1].[State].[All]" dimensionUniqueName="[EMERALD_PROPERTIES_SALES_DATA__1]" displayFolder="" count="2" memberValueDatatype="130" unbalanced="0"/>
    <cacheHierarchy uniqueName="[EMERALD_PROPERTIES_SALES_DATA__1].[Product]" caption="Product" attribute="1" defaultMemberUniqueName="[EMERALD_PROPERTIES_SALES_DATA__1].[Product].[All]" allUniqueName="[EMERALD_PROPERTIES_SALES_DATA__1].[Product].[All]" dimensionUniqueName="[EMERALD_PROPERTIES_SALES_DATA__1]" displayFolder="" count="2" memberValueDatatype="130" unbalanced="0"/>
    <cacheHierarchy uniqueName="[EMERALD_PROPERTIES_SALES_DATA__1].[Inspection]" caption="Inspection" attribute="1" defaultMemberUniqueName="[EMERALD_PROPERTIES_SALES_DATA__1].[Inspection].[All]" allUniqueName="[EMERALD_PROPERTIES_SALES_DATA__1].[Inspection].[All]" dimensionUniqueName="[EMERALD_PROPERTIES_SALES_DATA__1]" displayFolder="" count="2" memberValueDatatype="130" unbalanced="0">
      <fieldsUsage count="2">
        <fieldUsage x="-1"/>
        <fieldUsage x="1"/>
      </fieldsUsage>
    </cacheHierarchy>
    <cacheHierarchy uniqueName="[Measures].[Count of Client ID]" caption="Count of Client ID" measure="1" displayFolder="" measureGroup="EMERALD_PROPERTIES_SALES_DATA__1" count="0">
      <extLst>
        <ext xmlns:x15="http://schemas.microsoft.com/office/spreadsheetml/2010/11/main" uri="{B97F6D7D-B522-45F9-BDA1-12C45D357490}">
          <x15:cacheHierarchy aggregatedColumn="0"/>
        </ext>
      </extLst>
    </cacheHierarchy>
    <cacheHierarchy uniqueName="[Measures].[Total Leads]" caption="Total Leads" measure="1" displayFolder="" measureGroup="EMERALD_PROPERTIES_SALES_DATA__1" count="0" oneField="1">
      <fieldsUsage count="1">
        <fieldUsage x="0"/>
      </fieldsUsage>
    </cacheHierarchy>
    <cacheHierarchy uniqueName="[Measures].[__XL_Count EMERALD_PROPERTIES_SALES_DATA__1]" caption="__XL_Count EMERALD_PROPERTIES_SALES_DATA__1" measure="1" displayFolder="" measureGroup="EMERALD_PROPERTIES_SALES_DATA__1" count="0" hidden="1"/>
    <cacheHierarchy uniqueName="[Measures].[__No measures defined]" caption="__No measures defined" measure="1" displayFolder="" count="0" hidden="1"/>
  </cacheHierarchies>
  <kpis count="0"/>
  <dimensions count="2">
    <dimension name="EMERALD_PROPERTIES_SALES_DATA__1" uniqueName="[EMERALD_PROPERTIES_SALES_DATA__1]" caption="EMERALD_PROPERTIES_SALES_DATA__1"/>
    <dimension measure="1" name="Measures" uniqueName="[Measures]" caption="Measures"/>
  </dimensions>
  <measureGroups count="1">
    <measureGroup name="EMERALD_PROPERTIES_SALES_DATA__1" caption="EMERALD_PROPERTIES_SALES_DATA__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1.607192708332" backgroundQuery="1" createdVersion="8" refreshedVersion="8" minRefreshableVersion="3" recordCount="0" supportSubquery="1" supportAdvancedDrill="1" xr:uid="{39D94FF3-6FBE-4DA7-B0CA-DF4D5BF70A1F}">
  <cacheSource type="external" connectionId="2"/>
  <cacheFields count="3">
    <cacheField name="[Measures].[Total Leads]" caption="Total Leads" numFmtId="0" hierarchy="9" level="32767"/>
    <cacheField name="[EMERALD_PROPERTIES_SALES_DATA__1].[State].[State]" caption="State" numFmtId="0" hierarchy="5" level="1">
      <sharedItems count="2">
        <s v="Lagos"/>
        <s v="Rivers"/>
      </sharedItems>
    </cacheField>
    <cacheField name="[EMERALD_PROPERTIES_SALES_DATA__1].[Sales Status].[Sales Status]" caption="Sales Status" numFmtId="0" hierarchy="4" level="1">
      <sharedItems containsSemiMixedTypes="0" containsNonDate="0" containsString="0"/>
    </cacheField>
  </cacheFields>
  <cacheHierarchies count="12">
    <cacheHierarchy uniqueName="[EMERALD_PROPERTIES_SALES_DATA__1].[Client ID]" caption="Client ID" attribute="1" defaultMemberUniqueName="[EMERALD_PROPERTIES_SALES_DATA__1].[Client ID].[All]" allUniqueName="[EMERALD_PROPERTIES_SALES_DATA__1].[Client ID].[All]" dimensionUniqueName="[EMERALD_PROPERTIES_SALES_DATA__1]" displayFolder="" count="0" memberValueDatatype="130" unbalanced="0"/>
    <cacheHierarchy uniqueName="[EMERALD_PROPERTIES_SALES_DATA__1].[Client Gender]" caption="Client Gender" attribute="1" defaultMemberUniqueName="[EMERALD_PROPERTIES_SALES_DATA__1].[Client Gender].[All]" allUniqueName="[EMERALD_PROPERTIES_SALES_DATA__1].[Client Gender].[All]" dimensionUniqueName="[EMERALD_PROPERTIES_SALES_DATA__1]" displayFolder="" count="0" memberValueDatatype="130" unbalanced="0"/>
    <cacheHierarchy uniqueName="[EMERALD_PROPERTIES_SALES_DATA__1].[Sales Person]" caption="Sales Person" attribute="1" defaultMemberUniqueName="[EMERALD_PROPERTIES_SALES_DATA__1].[Sales Person].[All]" allUniqueName="[EMERALD_PROPERTIES_SALES_DATA__1].[Sales Person].[All]" dimensionUniqueName="[EMERALD_PROPERTIES_SALES_DATA__1]" displayFolder="" count="0" memberValueDatatype="130" unbalanced="0"/>
    <cacheHierarchy uniqueName="[EMERALD_PROPERTIES_SALES_DATA__1].[Date Given]" caption="Date Given" attribute="1" time="1" defaultMemberUniqueName="[EMERALD_PROPERTIES_SALES_DATA__1].[Date Given].[All]" allUniqueName="[EMERALD_PROPERTIES_SALES_DATA__1].[Date Given].[All]" dimensionUniqueName="[EMERALD_PROPERTIES_SALES_DATA__1]" displayFolder="" count="0" memberValueDatatype="7" unbalanced="0"/>
    <cacheHierarchy uniqueName="[EMERALD_PROPERTIES_SALES_DATA__1].[Sales Status]" caption="Sales Status" attribute="1" defaultMemberUniqueName="[EMERALD_PROPERTIES_SALES_DATA__1].[Sales Status].[All]" allUniqueName="[EMERALD_PROPERTIES_SALES_DATA__1].[Sales Status].[All]" dimensionUniqueName="[EMERALD_PROPERTIES_SALES_DATA__1]" displayFolder="" count="2" memberValueDatatype="130" unbalanced="0">
      <fieldsUsage count="2">
        <fieldUsage x="-1"/>
        <fieldUsage x="2"/>
      </fieldsUsage>
    </cacheHierarchy>
    <cacheHierarchy uniqueName="[EMERALD_PROPERTIES_SALES_DATA__1].[State]" caption="State" attribute="1" defaultMemberUniqueName="[EMERALD_PROPERTIES_SALES_DATA__1].[State].[All]" allUniqueName="[EMERALD_PROPERTIES_SALES_DATA__1].[State].[All]" dimensionUniqueName="[EMERALD_PROPERTIES_SALES_DATA__1]" displayFolder="" count="2" memberValueDatatype="130" unbalanced="0">
      <fieldsUsage count="2">
        <fieldUsage x="-1"/>
        <fieldUsage x="1"/>
      </fieldsUsage>
    </cacheHierarchy>
    <cacheHierarchy uniqueName="[EMERALD_PROPERTIES_SALES_DATA__1].[Product]" caption="Product" attribute="1" defaultMemberUniqueName="[EMERALD_PROPERTIES_SALES_DATA__1].[Product].[All]" allUniqueName="[EMERALD_PROPERTIES_SALES_DATA__1].[Product].[All]" dimensionUniqueName="[EMERALD_PROPERTIES_SALES_DATA__1]" displayFolder="" count="2" memberValueDatatype="130" unbalanced="0"/>
    <cacheHierarchy uniqueName="[EMERALD_PROPERTIES_SALES_DATA__1].[Inspection]" caption="Inspection" attribute="1" defaultMemberUniqueName="[EMERALD_PROPERTIES_SALES_DATA__1].[Inspection].[All]" allUniqueName="[EMERALD_PROPERTIES_SALES_DATA__1].[Inspection].[All]" dimensionUniqueName="[EMERALD_PROPERTIES_SALES_DATA__1]" displayFolder="" count="2" memberValueDatatype="130" unbalanced="0"/>
    <cacheHierarchy uniqueName="[Measures].[Count of Client ID]" caption="Count of Client ID" measure="1" displayFolder="" measureGroup="EMERALD_PROPERTIES_SALES_DATA__1" count="0">
      <extLst>
        <ext xmlns:x15="http://schemas.microsoft.com/office/spreadsheetml/2010/11/main" uri="{B97F6D7D-B522-45F9-BDA1-12C45D357490}">
          <x15:cacheHierarchy aggregatedColumn="0"/>
        </ext>
      </extLst>
    </cacheHierarchy>
    <cacheHierarchy uniqueName="[Measures].[Total Leads]" caption="Total Leads" measure="1" displayFolder="" measureGroup="EMERALD_PROPERTIES_SALES_DATA__1" count="0" oneField="1">
      <fieldsUsage count="1">
        <fieldUsage x="0"/>
      </fieldsUsage>
    </cacheHierarchy>
    <cacheHierarchy uniqueName="[Measures].[__XL_Count EMERALD_PROPERTIES_SALES_DATA__1]" caption="__XL_Count EMERALD_PROPERTIES_SALES_DATA__1" measure="1" displayFolder="" measureGroup="EMERALD_PROPERTIES_SALES_DATA__1" count="0" hidden="1"/>
    <cacheHierarchy uniqueName="[Measures].[__No measures defined]" caption="__No measures defined" measure="1" displayFolder="" count="0" hidden="1"/>
  </cacheHierarchies>
  <kpis count="0"/>
  <dimensions count="2">
    <dimension name="EMERALD_PROPERTIES_SALES_DATA__1" uniqueName="[EMERALD_PROPERTIES_SALES_DATA__1]" caption="EMERALD_PROPERTIES_SALES_DATA__1"/>
    <dimension measure="1" name="Measures" uniqueName="[Measures]" caption="Measures"/>
  </dimensions>
  <measureGroups count="1">
    <measureGroup name="EMERALD_PROPERTIES_SALES_DATA__1" caption="EMERALD_PROPERTIES_SALES_DATA__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1.607193055555" backgroundQuery="1" createdVersion="8" refreshedVersion="8" minRefreshableVersion="3" recordCount="0" supportSubquery="1" supportAdvancedDrill="1" xr:uid="{54987876-BD4B-4815-8B08-088621862976}">
  <cacheSource type="external" connectionId="2"/>
  <cacheFields count="3">
    <cacheField name="[Measures].[Total Leads]" caption="Total Leads" numFmtId="0" hierarchy="9" level="32767"/>
    <cacheField name="[EMERALD_PROPERTIES_SALES_DATA__1].[Client Gender].[Client Gender]" caption="Client Gender" numFmtId="0" hierarchy="1" level="1">
      <sharedItems count="2">
        <s v="Female"/>
        <s v="Male"/>
      </sharedItems>
    </cacheField>
    <cacheField name="[EMERALD_PROPERTIES_SALES_DATA__1].[Sales Status].[Sales Status]" caption="Sales Status" numFmtId="0" hierarchy="4" level="1">
      <sharedItems containsSemiMixedTypes="0" containsNonDate="0" containsString="0"/>
    </cacheField>
  </cacheFields>
  <cacheHierarchies count="12">
    <cacheHierarchy uniqueName="[EMERALD_PROPERTIES_SALES_DATA__1].[Client ID]" caption="Client ID" attribute="1" defaultMemberUniqueName="[EMERALD_PROPERTIES_SALES_DATA__1].[Client ID].[All]" allUniqueName="[EMERALD_PROPERTIES_SALES_DATA__1].[Client ID].[All]" dimensionUniqueName="[EMERALD_PROPERTIES_SALES_DATA__1]" displayFolder="" count="0" memberValueDatatype="130" unbalanced="0"/>
    <cacheHierarchy uniqueName="[EMERALD_PROPERTIES_SALES_DATA__1].[Client Gender]" caption="Client Gender" attribute="1" defaultMemberUniqueName="[EMERALD_PROPERTIES_SALES_DATA__1].[Client Gender].[All]" allUniqueName="[EMERALD_PROPERTIES_SALES_DATA__1].[Client Gender].[All]" dimensionUniqueName="[EMERALD_PROPERTIES_SALES_DATA__1]" displayFolder="" count="2" memberValueDatatype="130" unbalanced="0">
      <fieldsUsage count="2">
        <fieldUsage x="-1"/>
        <fieldUsage x="1"/>
      </fieldsUsage>
    </cacheHierarchy>
    <cacheHierarchy uniqueName="[EMERALD_PROPERTIES_SALES_DATA__1].[Sales Person]" caption="Sales Person" attribute="1" defaultMemberUniqueName="[EMERALD_PROPERTIES_SALES_DATA__1].[Sales Person].[All]" allUniqueName="[EMERALD_PROPERTIES_SALES_DATA__1].[Sales Person].[All]" dimensionUniqueName="[EMERALD_PROPERTIES_SALES_DATA__1]" displayFolder="" count="0" memberValueDatatype="130" unbalanced="0"/>
    <cacheHierarchy uniqueName="[EMERALD_PROPERTIES_SALES_DATA__1].[Date Given]" caption="Date Given" attribute="1" time="1" defaultMemberUniqueName="[EMERALD_PROPERTIES_SALES_DATA__1].[Date Given].[All]" allUniqueName="[EMERALD_PROPERTIES_SALES_DATA__1].[Date Given].[All]" dimensionUniqueName="[EMERALD_PROPERTIES_SALES_DATA__1]" displayFolder="" count="0" memberValueDatatype="7" unbalanced="0"/>
    <cacheHierarchy uniqueName="[EMERALD_PROPERTIES_SALES_DATA__1].[Sales Status]" caption="Sales Status" attribute="1" defaultMemberUniqueName="[EMERALD_PROPERTIES_SALES_DATA__1].[Sales Status].[All]" allUniqueName="[EMERALD_PROPERTIES_SALES_DATA__1].[Sales Status].[All]" dimensionUniqueName="[EMERALD_PROPERTIES_SALES_DATA__1]" displayFolder="" count="2" memberValueDatatype="130" unbalanced="0">
      <fieldsUsage count="2">
        <fieldUsage x="-1"/>
        <fieldUsage x="2"/>
      </fieldsUsage>
    </cacheHierarchy>
    <cacheHierarchy uniqueName="[EMERALD_PROPERTIES_SALES_DATA__1].[State]" caption="State" attribute="1" defaultMemberUniqueName="[EMERALD_PROPERTIES_SALES_DATA__1].[State].[All]" allUniqueName="[EMERALD_PROPERTIES_SALES_DATA__1].[State].[All]" dimensionUniqueName="[EMERALD_PROPERTIES_SALES_DATA__1]" displayFolder="" count="2" memberValueDatatype="130" unbalanced="0"/>
    <cacheHierarchy uniqueName="[EMERALD_PROPERTIES_SALES_DATA__1].[Product]" caption="Product" attribute="1" defaultMemberUniqueName="[EMERALD_PROPERTIES_SALES_DATA__1].[Product].[All]" allUniqueName="[EMERALD_PROPERTIES_SALES_DATA__1].[Product].[All]" dimensionUniqueName="[EMERALD_PROPERTIES_SALES_DATA__1]" displayFolder="" count="2" memberValueDatatype="130" unbalanced="0"/>
    <cacheHierarchy uniqueName="[EMERALD_PROPERTIES_SALES_DATA__1].[Inspection]" caption="Inspection" attribute="1" defaultMemberUniqueName="[EMERALD_PROPERTIES_SALES_DATA__1].[Inspection].[All]" allUniqueName="[EMERALD_PROPERTIES_SALES_DATA__1].[Inspection].[All]" dimensionUniqueName="[EMERALD_PROPERTIES_SALES_DATA__1]" displayFolder="" count="2" memberValueDatatype="130" unbalanced="0"/>
    <cacheHierarchy uniqueName="[Measures].[Count of Client ID]" caption="Count of Client ID" measure="1" displayFolder="" measureGroup="EMERALD_PROPERTIES_SALES_DATA__1" count="0">
      <extLst>
        <ext xmlns:x15="http://schemas.microsoft.com/office/spreadsheetml/2010/11/main" uri="{B97F6D7D-B522-45F9-BDA1-12C45D357490}">
          <x15:cacheHierarchy aggregatedColumn="0"/>
        </ext>
      </extLst>
    </cacheHierarchy>
    <cacheHierarchy uniqueName="[Measures].[Total Leads]" caption="Total Leads" measure="1" displayFolder="" measureGroup="EMERALD_PROPERTIES_SALES_DATA__1" count="0" oneField="1">
      <fieldsUsage count="1">
        <fieldUsage x="0"/>
      </fieldsUsage>
    </cacheHierarchy>
    <cacheHierarchy uniqueName="[Measures].[__XL_Count EMERALD_PROPERTIES_SALES_DATA__1]" caption="__XL_Count EMERALD_PROPERTIES_SALES_DATA__1" measure="1" displayFolder="" measureGroup="EMERALD_PROPERTIES_SALES_DATA__1" count="0" hidden="1"/>
    <cacheHierarchy uniqueName="[Measures].[__No measures defined]" caption="__No measures defined" measure="1" displayFolder="" count="0" hidden="1"/>
  </cacheHierarchies>
  <kpis count="0"/>
  <dimensions count="2">
    <dimension name="EMERALD_PROPERTIES_SALES_DATA__1" uniqueName="[EMERALD_PROPERTIES_SALES_DATA__1]" caption="EMERALD_PROPERTIES_SALES_DATA__1"/>
    <dimension measure="1" name="Measures" uniqueName="[Measures]" caption="Measures"/>
  </dimensions>
  <measureGroups count="1">
    <measureGroup name="EMERALD_PROPERTIES_SALES_DATA__1" caption="EMERALD_PROPERTIES_SALES_DATA__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1.607193402779" backgroundQuery="1" createdVersion="8" refreshedVersion="8" minRefreshableVersion="3" recordCount="0" supportSubquery="1" supportAdvancedDrill="1" xr:uid="{BA4F100A-7EF0-4EB5-B678-F064651A4699}">
  <cacheSource type="external" connectionId="2"/>
  <cacheFields count="3">
    <cacheField name="[Measures].[Total Leads]" caption="Total Leads" numFmtId="0" hierarchy="9" level="32767"/>
    <cacheField name="[EMERALD_PROPERTIES_SALES_DATA__1].[Product].[Product]" caption="Product" numFmtId="0" hierarchy="6" level="1">
      <sharedItems count="3">
        <s v="Commercial"/>
        <s v="Industrial"/>
        <s v="Residential"/>
      </sharedItems>
    </cacheField>
    <cacheField name="[EMERALD_PROPERTIES_SALES_DATA__1].[Sales Status].[Sales Status]" caption="Sales Status" numFmtId="0" hierarchy="4" level="1">
      <sharedItems containsSemiMixedTypes="0" containsNonDate="0" containsString="0"/>
    </cacheField>
  </cacheFields>
  <cacheHierarchies count="12">
    <cacheHierarchy uniqueName="[EMERALD_PROPERTIES_SALES_DATA__1].[Client ID]" caption="Client ID" attribute="1" defaultMemberUniqueName="[EMERALD_PROPERTIES_SALES_DATA__1].[Client ID].[All]" allUniqueName="[EMERALD_PROPERTIES_SALES_DATA__1].[Client ID].[All]" dimensionUniqueName="[EMERALD_PROPERTIES_SALES_DATA__1]" displayFolder="" count="0" memberValueDatatype="130" unbalanced="0"/>
    <cacheHierarchy uniqueName="[EMERALD_PROPERTIES_SALES_DATA__1].[Client Gender]" caption="Client Gender" attribute="1" defaultMemberUniqueName="[EMERALD_PROPERTIES_SALES_DATA__1].[Client Gender].[All]" allUniqueName="[EMERALD_PROPERTIES_SALES_DATA__1].[Client Gender].[All]" dimensionUniqueName="[EMERALD_PROPERTIES_SALES_DATA__1]" displayFolder="" count="0" memberValueDatatype="130" unbalanced="0"/>
    <cacheHierarchy uniqueName="[EMERALD_PROPERTIES_SALES_DATA__1].[Sales Person]" caption="Sales Person" attribute="1" defaultMemberUniqueName="[EMERALD_PROPERTIES_SALES_DATA__1].[Sales Person].[All]" allUniqueName="[EMERALD_PROPERTIES_SALES_DATA__1].[Sales Person].[All]" dimensionUniqueName="[EMERALD_PROPERTIES_SALES_DATA__1]" displayFolder="" count="0" memberValueDatatype="130" unbalanced="0"/>
    <cacheHierarchy uniqueName="[EMERALD_PROPERTIES_SALES_DATA__1].[Date Given]" caption="Date Given" attribute="1" time="1" defaultMemberUniqueName="[EMERALD_PROPERTIES_SALES_DATA__1].[Date Given].[All]" allUniqueName="[EMERALD_PROPERTIES_SALES_DATA__1].[Date Given].[All]" dimensionUniqueName="[EMERALD_PROPERTIES_SALES_DATA__1]" displayFolder="" count="0" memberValueDatatype="7" unbalanced="0"/>
    <cacheHierarchy uniqueName="[EMERALD_PROPERTIES_SALES_DATA__1].[Sales Status]" caption="Sales Status" attribute="1" defaultMemberUniqueName="[EMERALD_PROPERTIES_SALES_DATA__1].[Sales Status].[All]" allUniqueName="[EMERALD_PROPERTIES_SALES_DATA__1].[Sales Status].[All]" dimensionUniqueName="[EMERALD_PROPERTIES_SALES_DATA__1]" displayFolder="" count="2" memberValueDatatype="130" unbalanced="0">
      <fieldsUsage count="2">
        <fieldUsage x="-1"/>
        <fieldUsage x="2"/>
      </fieldsUsage>
    </cacheHierarchy>
    <cacheHierarchy uniqueName="[EMERALD_PROPERTIES_SALES_DATA__1].[State]" caption="State" attribute="1" defaultMemberUniqueName="[EMERALD_PROPERTIES_SALES_DATA__1].[State].[All]" allUniqueName="[EMERALD_PROPERTIES_SALES_DATA__1].[State].[All]" dimensionUniqueName="[EMERALD_PROPERTIES_SALES_DATA__1]" displayFolder="" count="2" memberValueDatatype="130" unbalanced="0"/>
    <cacheHierarchy uniqueName="[EMERALD_PROPERTIES_SALES_DATA__1].[Product]" caption="Product" attribute="1" defaultMemberUniqueName="[EMERALD_PROPERTIES_SALES_DATA__1].[Product].[All]" allUniqueName="[EMERALD_PROPERTIES_SALES_DATA__1].[Product].[All]" dimensionUniqueName="[EMERALD_PROPERTIES_SALES_DATA__1]" displayFolder="" count="2" memberValueDatatype="130" unbalanced="0">
      <fieldsUsage count="2">
        <fieldUsage x="-1"/>
        <fieldUsage x="1"/>
      </fieldsUsage>
    </cacheHierarchy>
    <cacheHierarchy uniqueName="[EMERALD_PROPERTIES_SALES_DATA__1].[Inspection]" caption="Inspection" attribute="1" defaultMemberUniqueName="[EMERALD_PROPERTIES_SALES_DATA__1].[Inspection].[All]" allUniqueName="[EMERALD_PROPERTIES_SALES_DATA__1].[Inspection].[All]" dimensionUniqueName="[EMERALD_PROPERTIES_SALES_DATA__1]" displayFolder="" count="2" memberValueDatatype="130" unbalanced="0"/>
    <cacheHierarchy uniqueName="[Measures].[Count of Client ID]" caption="Count of Client ID" measure="1" displayFolder="" measureGroup="EMERALD_PROPERTIES_SALES_DATA__1" count="0">
      <extLst>
        <ext xmlns:x15="http://schemas.microsoft.com/office/spreadsheetml/2010/11/main" uri="{B97F6D7D-B522-45F9-BDA1-12C45D357490}">
          <x15:cacheHierarchy aggregatedColumn="0"/>
        </ext>
      </extLst>
    </cacheHierarchy>
    <cacheHierarchy uniqueName="[Measures].[Total Leads]" caption="Total Leads" measure="1" displayFolder="" measureGroup="EMERALD_PROPERTIES_SALES_DATA__1" count="0" oneField="1">
      <fieldsUsage count="1">
        <fieldUsage x="0"/>
      </fieldsUsage>
    </cacheHierarchy>
    <cacheHierarchy uniqueName="[Measures].[__XL_Count EMERALD_PROPERTIES_SALES_DATA__1]" caption="__XL_Count EMERALD_PROPERTIES_SALES_DATA__1" measure="1" displayFolder="" measureGroup="EMERALD_PROPERTIES_SALES_DATA__1" count="0" hidden="1"/>
    <cacheHierarchy uniqueName="[Measures].[__No measures defined]" caption="__No measures defined" measure="1" displayFolder="" count="0" hidden="1"/>
  </cacheHierarchies>
  <kpis count="0"/>
  <dimensions count="2">
    <dimension name="EMERALD_PROPERTIES_SALES_DATA__1" uniqueName="[EMERALD_PROPERTIES_SALES_DATA__1]" caption="EMERALD_PROPERTIES_SALES_DATA__1"/>
    <dimension measure="1" name="Measures" uniqueName="[Measures]" caption="Measures"/>
  </dimensions>
  <measureGroups count="1">
    <measureGroup name="EMERALD_PROPERTIES_SALES_DATA__1" caption="EMERALD_PROPERTIES_SALES_DATA__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1.607193865741" backgroundQuery="1" createdVersion="8" refreshedVersion="8" minRefreshableVersion="3" recordCount="0" supportSubquery="1" supportAdvancedDrill="1" xr:uid="{B85366C5-80DF-4B91-BFDE-A00F0D7CAC46}">
  <cacheSource type="external" connectionId="2"/>
  <cacheFields count="3">
    <cacheField name="[Measures].[Total Leads]" caption="Total Leads" numFmtId="0" hierarchy="9" level="32767"/>
    <cacheField name="[EMERALD_PROPERTIES_SALES_DATA__1].[Sales Person].[Sales Person]" caption="Sales Person" numFmtId="0" hierarchy="2" level="1">
      <sharedItems count="6">
        <s v="Ahmed"/>
        <s v="Chioma"/>
        <s v="Chukwudi"/>
        <s v="Funmi"/>
        <s v="Ngozi"/>
        <s v="Olumide"/>
      </sharedItems>
    </cacheField>
    <cacheField name="[EMERALD_PROPERTIES_SALES_DATA__1].[Sales Status].[Sales Status]" caption="Sales Status" numFmtId="0" hierarchy="4" level="1">
      <sharedItems containsSemiMixedTypes="0" containsNonDate="0" containsString="0"/>
    </cacheField>
  </cacheFields>
  <cacheHierarchies count="12">
    <cacheHierarchy uniqueName="[EMERALD_PROPERTIES_SALES_DATA__1].[Client ID]" caption="Client ID" attribute="1" defaultMemberUniqueName="[EMERALD_PROPERTIES_SALES_DATA__1].[Client ID].[All]" allUniqueName="[EMERALD_PROPERTIES_SALES_DATA__1].[Client ID].[All]" dimensionUniqueName="[EMERALD_PROPERTIES_SALES_DATA__1]" displayFolder="" count="2" memberValueDatatype="130" unbalanced="0"/>
    <cacheHierarchy uniqueName="[EMERALD_PROPERTIES_SALES_DATA__1].[Client Gender]" caption="Client Gender" attribute="1" defaultMemberUniqueName="[EMERALD_PROPERTIES_SALES_DATA__1].[Client Gender].[All]" allUniqueName="[EMERALD_PROPERTIES_SALES_DATA__1].[Client Gender].[All]" dimensionUniqueName="[EMERALD_PROPERTIES_SALES_DATA__1]" displayFolder="" count="0" memberValueDatatype="130" unbalanced="0"/>
    <cacheHierarchy uniqueName="[EMERALD_PROPERTIES_SALES_DATA__1].[Sales Person]" caption="Sales Person" attribute="1" defaultMemberUniqueName="[EMERALD_PROPERTIES_SALES_DATA__1].[Sales Person].[All]" allUniqueName="[EMERALD_PROPERTIES_SALES_DATA__1].[Sales Person].[All]" dimensionUniqueName="[EMERALD_PROPERTIES_SALES_DATA__1]" displayFolder="" count="2" memberValueDatatype="130" unbalanced="0">
      <fieldsUsage count="2">
        <fieldUsage x="-1"/>
        <fieldUsage x="1"/>
      </fieldsUsage>
    </cacheHierarchy>
    <cacheHierarchy uniqueName="[EMERALD_PROPERTIES_SALES_DATA__1].[Date Given]" caption="Date Given" attribute="1" time="1" defaultMemberUniqueName="[EMERALD_PROPERTIES_SALES_DATA__1].[Date Given].[All]" allUniqueName="[EMERALD_PROPERTIES_SALES_DATA__1].[Date Given].[All]" dimensionUniqueName="[EMERALD_PROPERTIES_SALES_DATA__1]" displayFolder="" count="0" memberValueDatatype="7" unbalanced="0"/>
    <cacheHierarchy uniqueName="[EMERALD_PROPERTIES_SALES_DATA__1].[Sales Status]" caption="Sales Status" attribute="1" defaultMemberUniqueName="[EMERALD_PROPERTIES_SALES_DATA__1].[Sales Status].[All]" allUniqueName="[EMERALD_PROPERTIES_SALES_DATA__1].[Sales Status].[All]" dimensionUniqueName="[EMERALD_PROPERTIES_SALES_DATA__1]" displayFolder="" count="2" memberValueDatatype="130" unbalanced="0">
      <fieldsUsage count="2">
        <fieldUsage x="-1"/>
        <fieldUsage x="2"/>
      </fieldsUsage>
    </cacheHierarchy>
    <cacheHierarchy uniqueName="[EMERALD_PROPERTIES_SALES_DATA__1].[State]" caption="State" attribute="1" defaultMemberUniqueName="[EMERALD_PROPERTIES_SALES_DATA__1].[State].[All]" allUniqueName="[EMERALD_PROPERTIES_SALES_DATA__1].[State].[All]" dimensionUniqueName="[EMERALD_PROPERTIES_SALES_DATA__1]" displayFolder="" count="2" memberValueDatatype="130" unbalanced="0"/>
    <cacheHierarchy uniqueName="[EMERALD_PROPERTIES_SALES_DATA__1].[Product]" caption="Product" attribute="1" defaultMemberUniqueName="[EMERALD_PROPERTIES_SALES_DATA__1].[Product].[All]" allUniqueName="[EMERALD_PROPERTIES_SALES_DATA__1].[Product].[All]" dimensionUniqueName="[EMERALD_PROPERTIES_SALES_DATA__1]" displayFolder="" count="2" memberValueDatatype="130" unbalanced="0"/>
    <cacheHierarchy uniqueName="[EMERALD_PROPERTIES_SALES_DATA__1].[Inspection]" caption="Inspection" attribute="1" defaultMemberUniqueName="[EMERALD_PROPERTIES_SALES_DATA__1].[Inspection].[All]" allUniqueName="[EMERALD_PROPERTIES_SALES_DATA__1].[Inspection].[All]" dimensionUniqueName="[EMERALD_PROPERTIES_SALES_DATA__1]" displayFolder="" count="2" memberValueDatatype="130" unbalanced="0"/>
    <cacheHierarchy uniqueName="[Measures].[Count of Client ID]" caption="Count of Client ID" measure="1" displayFolder="" measureGroup="EMERALD_PROPERTIES_SALES_DATA__1" count="0">
      <extLst>
        <ext xmlns:x15="http://schemas.microsoft.com/office/spreadsheetml/2010/11/main" uri="{B97F6D7D-B522-45F9-BDA1-12C45D357490}">
          <x15:cacheHierarchy aggregatedColumn="0"/>
        </ext>
      </extLst>
    </cacheHierarchy>
    <cacheHierarchy uniqueName="[Measures].[Total Leads]" caption="Total Leads" measure="1" displayFolder="" measureGroup="EMERALD_PROPERTIES_SALES_DATA__1" count="0" oneField="1">
      <fieldsUsage count="1">
        <fieldUsage x="0"/>
      </fieldsUsage>
    </cacheHierarchy>
    <cacheHierarchy uniqueName="[Measures].[__XL_Count EMERALD_PROPERTIES_SALES_DATA__1]" caption="__XL_Count EMERALD_PROPERTIES_SALES_DATA__1" measure="1" displayFolder="" measureGroup="EMERALD_PROPERTIES_SALES_DATA__1" count="0" hidden="1"/>
    <cacheHierarchy uniqueName="[Measures].[__No measures defined]" caption="__No measures defined" measure="1" displayFolder="" count="0" hidden="1"/>
  </cacheHierarchies>
  <kpis count="0"/>
  <dimensions count="2">
    <dimension name="EMERALD_PROPERTIES_SALES_DATA__1" uniqueName="[EMERALD_PROPERTIES_SALES_DATA__1]" caption="EMERALD_PROPERTIES_SALES_DATA__1"/>
    <dimension measure="1" name="Measures" uniqueName="[Measures]" caption="Measures"/>
  </dimensions>
  <measureGroups count="1">
    <measureGroup name="EMERALD_PROPERTIES_SALES_DATA__1" caption="EMERALD_PROPERTIES_SALES_DATA__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1.607194212964" backgroundQuery="1" createdVersion="8" refreshedVersion="8" minRefreshableVersion="3" recordCount="0" supportSubquery="1" supportAdvancedDrill="1" xr:uid="{3C2794F7-2B01-4089-BEEA-0F18D2E9DB38}">
  <cacheSource type="external" connectionId="2"/>
  <cacheFields count="2">
    <cacheField name="[Measures].[Total Leads]" caption="Total Leads" numFmtId="0" hierarchy="9" level="32767"/>
    <cacheField name="[EMERALD_PROPERTIES_SALES_DATA__1].[Sales Status].[Sales Status]" caption="Sales Status" numFmtId="0" hierarchy="4" level="1">
      <sharedItems count="4">
        <s v="Next Time"/>
        <s v="Not Interested"/>
        <s v="Paid"/>
        <s v="Too Expensive"/>
      </sharedItems>
    </cacheField>
  </cacheFields>
  <cacheHierarchies count="12">
    <cacheHierarchy uniqueName="[EMERALD_PROPERTIES_SALES_DATA__1].[Client ID]" caption="Client ID" attribute="1" defaultMemberUniqueName="[EMERALD_PROPERTIES_SALES_DATA__1].[Client ID].[All]" allUniqueName="[EMERALD_PROPERTIES_SALES_DATA__1].[Client ID].[All]" dimensionUniqueName="[EMERALD_PROPERTIES_SALES_DATA__1]" displayFolder="" count="0" memberValueDatatype="130" unbalanced="0"/>
    <cacheHierarchy uniqueName="[EMERALD_PROPERTIES_SALES_DATA__1].[Client Gender]" caption="Client Gender" attribute="1" defaultMemberUniqueName="[EMERALD_PROPERTIES_SALES_DATA__1].[Client Gender].[All]" allUniqueName="[EMERALD_PROPERTIES_SALES_DATA__1].[Client Gender].[All]" dimensionUniqueName="[EMERALD_PROPERTIES_SALES_DATA__1]" displayFolder="" count="0" memberValueDatatype="130" unbalanced="0"/>
    <cacheHierarchy uniqueName="[EMERALD_PROPERTIES_SALES_DATA__1].[Sales Person]" caption="Sales Person" attribute="1" defaultMemberUniqueName="[EMERALD_PROPERTIES_SALES_DATA__1].[Sales Person].[All]" allUniqueName="[EMERALD_PROPERTIES_SALES_DATA__1].[Sales Person].[All]" dimensionUniqueName="[EMERALD_PROPERTIES_SALES_DATA__1]" displayFolder="" count="0" memberValueDatatype="130" unbalanced="0"/>
    <cacheHierarchy uniqueName="[EMERALD_PROPERTIES_SALES_DATA__1].[Date Given]" caption="Date Given" attribute="1" time="1" defaultMemberUniqueName="[EMERALD_PROPERTIES_SALES_DATA__1].[Date Given].[All]" allUniqueName="[EMERALD_PROPERTIES_SALES_DATA__1].[Date Given].[All]" dimensionUniqueName="[EMERALD_PROPERTIES_SALES_DATA__1]" displayFolder="" count="0" memberValueDatatype="7" unbalanced="0"/>
    <cacheHierarchy uniqueName="[EMERALD_PROPERTIES_SALES_DATA__1].[Sales Status]" caption="Sales Status" attribute="1" defaultMemberUniqueName="[EMERALD_PROPERTIES_SALES_DATA__1].[Sales Status].[All]" allUniqueName="[EMERALD_PROPERTIES_SALES_DATA__1].[Sales Status].[All]" dimensionUniqueName="[EMERALD_PROPERTIES_SALES_DATA__1]" displayFolder="" count="2" memberValueDatatype="130" unbalanced="0">
      <fieldsUsage count="2">
        <fieldUsage x="-1"/>
        <fieldUsage x="1"/>
      </fieldsUsage>
    </cacheHierarchy>
    <cacheHierarchy uniqueName="[EMERALD_PROPERTIES_SALES_DATA__1].[State]" caption="State" attribute="1" defaultMemberUniqueName="[EMERALD_PROPERTIES_SALES_DATA__1].[State].[All]" allUniqueName="[EMERALD_PROPERTIES_SALES_DATA__1].[State].[All]" dimensionUniqueName="[EMERALD_PROPERTIES_SALES_DATA__1]" displayFolder="" count="2" memberValueDatatype="130" unbalanced="0"/>
    <cacheHierarchy uniqueName="[EMERALD_PROPERTIES_SALES_DATA__1].[Product]" caption="Product" attribute="1" defaultMemberUniqueName="[EMERALD_PROPERTIES_SALES_DATA__1].[Product].[All]" allUniqueName="[EMERALD_PROPERTIES_SALES_DATA__1].[Product].[All]" dimensionUniqueName="[EMERALD_PROPERTIES_SALES_DATA__1]" displayFolder="" count="2" memberValueDatatype="130" unbalanced="0"/>
    <cacheHierarchy uniqueName="[EMERALD_PROPERTIES_SALES_DATA__1].[Inspection]" caption="Inspection" attribute="1" defaultMemberUniqueName="[EMERALD_PROPERTIES_SALES_DATA__1].[Inspection].[All]" allUniqueName="[EMERALD_PROPERTIES_SALES_DATA__1].[Inspection].[All]" dimensionUniqueName="[EMERALD_PROPERTIES_SALES_DATA__1]" displayFolder="" count="2" memberValueDatatype="130" unbalanced="0"/>
    <cacheHierarchy uniqueName="[Measures].[Count of Client ID]" caption="Count of Client ID" measure="1" displayFolder="" measureGroup="EMERALD_PROPERTIES_SALES_DATA__1" count="0">
      <extLst>
        <ext xmlns:x15="http://schemas.microsoft.com/office/spreadsheetml/2010/11/main" uri="{B97F6D7D-B522-45F9-BDA1-12C45D357490}">
          <x15:cacheHierarchy aggregatedColumn="0"/>
        </ext>
      </extLst>
    </cacheHierarchy>
    <cacheHierarchy uniqueName="[Measures].[Total Leads]" caption="Total Leads" measure="1" displayFolder="" measureGroup="EMERALD_PROPERTIES_SALES_DATA__1" count="0" oneField="1">
      <fieldsUsage count="1">
        <fieldUsage x="0"/>
      </fieldsUsage>
    </cacheHierarchy>
    <cacheHierarchy uniqueName="[Measures].[__XL_Count EMERALD_PROPERTIES_SALES_DATA__1]" caption="__XL_Count EMERALD_PROPERTIES_SALES_DATA__1" measure="1" displayFolder="" measureGroup="EMERALD_PROPERTIES_SALES_DATA__1" count="0" hidden="1"/>
    <cacheHierarchy uniqueName="[Measures].[__No measures defined]" caption="__No measures defined" measure="1" displayFolder="" count="0" hidden="1"/>
  </cacheHierarchies>
  <kpis count="0"/>
  <dimensions count="2">
    <dimension name="EMERALD_PROPERTIES_SALES_DATA__1" uniqueName="[EMERALD_PROPERTIES_SALES_DATA__1]" caption="EMERALD_PROPERTIES_SALES_DATA__1"/>
    <dimension measure="1" name="Measures" uniqueName="[Measures]" caption="Measures"/>
  </dimensions>
  <measureGroups count="1">
    <measureGroup name="EMERALD_PROPERTIES_SALES_DATA__1" caption="EMERALD_PROPERTIES_SALES_DATA__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0.60479085648" backgroundQuery="1" createdVersion="3" refreshedVersion="8" minRefreshableVersion="3" recordCount="0" supportSubquery="1" supportAdvancedDrill="1" xr:uid="{F4549AE0-AA3E-49B3-B4F3-37DED9784E92}">
  <cacheSource type="external" connectionId="2">
    <extLst>
      <ext xmlns:x14="http://schemas.microsoft.com/office/spreadsheetml/2009/9/main" uri="{F057638F-6D5F-4e77-A914-E7F072B9BCA8}">
        <x14:sourceConnection name="ThisWorkbookDataModel"/>
      </ext>
    </extLst>
  </cacheSource>
  <cacheFields count="0"/>
  <cacheHierarchies count="12">
    <cacheHierarchy uniqueName="[EMERALD_PROPERTIES_SALES_DATA__1].[Client ID]" caption="Client ID" attribute="1" defaultMemberUniqueName="[EMERALD_PROPERTIES_SALES_DATA__1].[Client ID].[All]" allUniqueName="[EMERALD_PROPERTIES_SALES_DATA__1].[Client ID].[All]" dimensionUniqueName="[EMERALD_PROPERTIES_SALES_DATA__1]" displayFolder="" count="0" memberValueDatatype="130" unbalanced="0"/>
    <cacheHierarchy uniqueName="[EMERALD_PROPERTIES_SALES_DATA__1].[Client Gender]" caption="Client Gender" attribute="1" defaultMemberUniqueName="[EMERALD_PROPERTIES_SALES_DATA__1].[Client Gender].[All]" allUniqueName="[EMERALD_PROPERTIES_SALES_DATA__1].[Client Gender].[All]" dimensionUniqueName="[EMERALD_PROPERTIES_SALES_DATA__1]" displayFolder="" count="0" memberValueDatatype="130" unbalanced="0"/>
    <cacheHierarchy uniqueName="[EMERALD_PROPERTIES_SALES_DATA__1].[Sales Person]" caption="Sales Person" attribute="1" defaultMemberUniqueName="[EMERALD_PROPERTIES_SALES_DATA__1].[Sales Person].[All]" allUniqueName="[EMERALD_PROPERTIES_SALES_DATA__1].[Sales Person].[All]" dimensionUniqueName="[EMERALD_PROPERTIES_SALES_DATA__1]" displayFolder="" count="0" memberValueDatatype="130" unbalanced="0"/>
    <cacheHierarchy uniqueName="[EMERALD_PROPERTIES_SALES_DATA__1].[Date Given]" caption="Date Given" attribute="1" time="1" defaultMemberUniqueName="[EMERALD_PROPERTIES_SALES_DATA__1].[Date Given].[All]" allUniqueName="[EMERALD_PROPERTIES_SALES_DATA__1].[Date Given].[All]" dimensionUniqueName="[EMERALD_PROPERTIES_SALES_DATA__1]" displayFolder="" count="0" memberValueDatatype="7" unbalanced="0"/>
    <cacheHierarchy uniqueName="[EMERALD_PROPERTIES_SALES_DATA__1].[Sales Status]" caption="Sales Status" attribute="1" defaultMemberUniqueName="[EMERALD_PROPERTIES_SALES_DATA__1].[Sales Status].[All]" allUniqueName="[EMERALD_PROPERTIES_SALES_DATA__1].[Sales Status].[All]" dimensionUniqueName="[EMERALD_PROPERTIES_SALES_DATA__1]" displayFolder="" count="2" memberValueDatatype="130" unbalanced="0"/>
    <cacheHierarchy uniqueName="[EMERALD_PROPERTIES_SALES_DATA__1].[State]" caption="State" attribute="1" defaultMemberUniqueName="[EMERALD_PROPERTIES_SALES_DATA__1].[State].[All]" allUniqueName="[EMERALD_PROPERTIES_SALES_DATA__1].[State].[All]" dimensionUniqueName="[EMERALD_PROPERTIES_SALES_DATA__1]" displayFolder="" count="2" memberValueDatatype="130" unbalanced="0"/>
    <cacheHierarchy uniqueName="[EMERALD_PROPERTIES_SALES_DATA__1].[Product]" caption="Product" attribute="1" defaultMemberUniqueName="[EMERALD_PROPERTIES_SALES_DATA__1].[Product].[All]" allUniqueName="[EMERALD_PROPERTIES_SALES_DATA__1].[Product].[All]" dimensionUniqueName="[EMERALD_PROPERTIES_SALES_DATA__1]" displayFolder="" count="2" memberValueDatatype="130" unbalanced="0"/>
    <cacheHierarchy uniqueName="[EMERALD_PROPERTIES_SALES_DATA__1].[Inspection]" caption="Inspection" attribute="1" defaultMemberUniqueName="[EMERALD_PROPERTIES_SALES_DATA__1].[Inspection].[All]" allUniqueName="[EMERALD_PROPERTIES_SALES_DATA__1].[Inspection].[All]" dimensionUniqueName="[EMERALD_PROPERTIES_SALES_DATA__1]" displayFolder="" count="2" memberValueDatatype="130" unbalanced="0"/>
    <cacheHierarchy uniqueName="[Measures].[Count of Client ID]" caption="Count of Client ID" measure="1" displayFolder="" measureGroup="EMERALD_PROPERTIES_SALES_DATA__1" count="0">
      <extLst>
        <ext xmlns:x15="http://schemas.microsoft.com/office/spreadsheetml/2010/11/main" uri="{B97F6D7D-B522-45F9-BDA1-12C45D357490}">
          <x15:cacheHierarchy aggregatedColumn="0"/>
        </ext>
      </extLst>
    </cacheHierarchy>
    <cacheHierarchy uniqueName="[Measures].[Total Leads]" caption="Total Leads" measure="1" displayFolder="" measureGroup="EMERALD_PROPERTIES_SALES_DATA__1" count="0"/>
    <cacheHierarchy uniqueName="[Measures].[__XL_Count EMERALD_PROPERTIES_SALES_DATA__1]" caption="__XL_Count EMERALD_PROPERTIES_SALES_DATA__1" measure="1" displayFolder="" measureGroup="EMERALD_PROPERTIES_SALES_DATA__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3438876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393574-29EA-4E73-ACF4-9508AD49224D}" name="PivotTable1" cacheId="18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3:B10"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Hierarchies count="12">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EMERALD_PROPERTIES_SALES_DATA__1">
        <x15:activeTabTopLevelEntity name="[EMERALD_PROPERTIES_SALES_DAT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37B90D-B014-428D-A285-24B3D5B4F2D3}" name="PivotTable3" cacheId="17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3:B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1" count="1" selected="0">
            <x v="0"/>
          </reference>
        </references>
      </pivotArea>
    </chartFormat>
    <chartFormat chart="4" format="14">
      <pivotArea type="data" outline="0" fieldPosition="0">
        <references count="2">
          <reference field="4294967294" count="1" selected="0">
            <x v="0"/>
          </reference>
          <reference field="1" count="1" selected="0">
            <x v="1"/>
          </reference>
        </references>
      </pivotArea>
    </chartFormat>
  </chartFormats>
  <pivotHierarchies count="12">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EMERALD_PROPERTIES_SALES_DATA__1">
        <x15:activeTabTopLevelEntity name="[EMERALD_PROPERTIES_SALES_DAT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EA02EC-4405-450D-84E3-631CDE0F37A5}" name="PivotTable4" cacheId="18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3:B8"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2">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EMERALD_PROPERTIES_SALES_DATA__1">
        <x15:activeTabTopLevelEntity name="[EMERALD_PROPERTIES_SALES_DAT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790E27-C830-4A87-AA02-830B2DA96444}" name="PivotTable5" cacheId="17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B2:C5"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dataField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1" count="1" selected="0">
            <x v="0"/>
          </reference>
        </references>
      </pivotArea>
    </chartFormat>
    <chartFormat chart="7" format="14">
      <pivotArea type="data" outline="0" fieldPosition="0">
        <references count="2">
          <reference field="4294967294" count="1" selected="0">
            <x v="0"/>
          </reference>
          <reference field="1" count="1" selected="0">
            <x v="1"/>
          </reference>
        </references>
      </pivotArea>
    </chartFormat>
  </chartFormats>
  <pivotHierarchies count="12">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EMERALD_PROPERTIES_SALES_DATA__1">
        <x15:activeTabTopLevelEntity name="[EMERALD_PROPERTIES_SALES_DAT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0E1802-B733-45C3-8490-6726F195B8D6}" name="PivotTable6" cacheId="18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B2:C6"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2">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EMERALD_PROPERTIES_SALES_DATA__1">
        <x15:activeTabTopLevelEntity name="[EMERALD_PROPERTIES_SALES_DATA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E414BC-DCD1-46F7-9AB2-04AB72C17245}" name="PivotTable7" cacheId="17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B2:C5"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Hierarchies count="12">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EMERALD_PROPERTIES_SALES_DATA__1">
        <x15:activeTabTopLevelEntity name="[EMERALD_PROPERTIES_SALES_DATA_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6FBFBC0-E07A-41AC-9D80-DA24517391BE}" autoFormatId="16" applyNumberFormats="0" applyBorderFormats="0" applyFontFormats="0" applyPatternFormats="0" applyAlignmentFormats="0" applyWidthHeightFormats="0">
  <queryTableRefresh nextId="9">
    <queryTableFields count="8">
      <queryTableField id="1" name="Client ID" tableColumnId="1"/>
      <queryTableField id="2" name="Client Gender " tableColumnId="2"/>
      <queryTableField id="3" name="Sales Person " tableColumnId="3"/>
      <queryTableField id="4" name="Date Given " tableColumnId="4"/>
      <queryTableField id="5" name="Sales Status" tableColumnId="5"/>
      <queryTableField id="6" name="State       " tableColumnId="6"/>
      <queryTableField id="7" name="Product" tableColumnId="7"/>
      <queryTableField id="8" name="Inspection"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pection" xr10:uid="{79C04057-A892-493F-96F9-F270BF3D98A0}" sourceName="[EMERALD_PROPERTIES_SALES_DATA__1].[Inspection]">
  <pivotTables>
    <pivotTable tabId="8" name="PivotTable7"/>
    <pivotTable tabId="6" name="PivotTable5"/>
    <pivotTable tabId="4" name="PivotTable3"/>
    <pivotTable tabId="7" name="PivotTable6"/>
    <pivotTable tabId="3" name="PivotTable1"/>
    <pivotTable tabId="5" name="PivotTable4"/>
  </pivotTables>
  <data>
    <olap pivotCacheId="1934388763">
      <levels count="2">
        <level uniqueName="[EMERALD_PROPERTIES_SALES_DATA__1].[Inspection].[(All)]" sourceCaption="(All)" count="0"/>
        <level uniqueName="[EMERALD_PROPERTIES_SALES_DATA__1].[Inspection].[Inspection]" sourceCaption="Inspection" count="2">
          <ranges>
            <range startItem="0">
              <i n="[EMERALD_PROPERTIES_SALES_DATA__1].[Inspection].&amp;[No]" c="No"/>
              <i n="[EMERALD_PROPERTIES_SALES_DATA__1].[Inspection].&amp;[Yes]" c="Yes"/>
            </range>
          </ranges>
        </level>
      </levels>
      <selections count="1">
        <selection n="[EMERALD_PROPERTIES_SALES_DATA__1].[Inspect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1AA149A-83B5-481F-A550-E0F89D5DBC55}" sourceName="[EMERALD_PROPERTIES_SALES_DATA__1].[Product]">
  <pivotTables>
    <pivotTable tabId="8" name="PivotTable7"/>
    <pivotTable tabId="6" name="PivotTable5"/>
    <pivotTable tabId="4" name="PivotTable3"/>
    <pivotTable tabId="7" name="PivotTable6"/>
    <pivotTable tabId="3" name="PivotTable1"/>
    <pivotTable tabId="5" name="PivotTable4"/>
  </pivotTables>
  <data>
    <olap pivotCacheId="1934388763">
      <levels count="2">
        <level uniqueName="[EMERALD_PROPERTIES_SALES_DATA__1].[Product].[(All)]" sourceCaption="(All)" count="0"/>
        <level uniqueName="[EMERALD_PROPERTIES_SALES_DATA__1].[Product].[Product]" sourceCaption="Product" count="3">
          <ranges>
            <range startItem="0">
              <i n="[EMERALD_PROPERTIES_SALES_DATA__1].[Product].&amp;[Commercial]" c="Commercial"/>
              <i n="[EMERALD_PROPERTIES_SALES_DATA__1].[Product].&amp;[Industrial]" c="Industrial"/>
              <i n="[EMERALD_PROPERTIES_SALES_DATA__1].[Product].&amp;[Residential]" c="Residential"/>
            </range>
          </ranges>
        </level>
      </levels>
      <selections count="1">
        <selection n="[EMERALD_PROPERTIES_SALES_DATA__1].[Produc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Status" xr10:uid="{8EE08AC7-2BD1-47A3-B92C-479A4B197D32}" sourceName="[EMERALD_PROPERTIES_SALES_DATA__1].[Sales Status]">
  <pivotTables>
    <pivotTable tabId="8" name="PivotTable7"/>
    <pivotTable tabId="6" name="PivotTable5"/>
    <pivotTable tabId="4" name="PivotTable3"/>
    <pivotTable tabId="7" name="PivotTable6"/>
    <pivotTable tabId="3" name="PivotTable1"/>
    <pivotTable tabId="5" name="PivotTable4"/>
  </pivotTables>
  <data>
    <olap pivotCacheId="1934388763">
      <levels count="2">
        <level uniqueName="[EMERALD_PROPERTIES_SALES_DATA__1].[Sales Status].[(All)]" sourceCaption="(All)" count="0"/>
        <level uniqueName="[EMERALD_PROPERTIES_SALES_DATA__1].[Sales Status].[Sales Status]" sourceCaption="Sales Status" count="4">
          <ranges>
            <range startItem="0">
              <i n="[EMERALD_PROPERTIES_SALES_DATA__1].[Sales Status].&amp;[Next Time]" c="Next Time"/>
              <i n="[EMERALD_PROPERTIES_SALES_DATA__1].[Sales Status].&amp;[Not Interested]" c="Not Interested"/>
              <i n="[EMERALD_PROPERTIES_SALES_DATA__1].[Sales Status].&amp;[Paid]" c="Paid"/>
              <i n="[EMERALD_PROPERTIES_SALES_DATA__1].[Sales Status].&amp;[Too Expensive]" c="Too Expensive"/>
            </range>
          </ranges>
        </level>
      </levels>
      <selections count="1">
        <selection n="[EMERALD_PROPERTIES_SALES_DATA__1].[Sales Statu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7C06A3E3-3BAC-45B5-8E84-633A667554CE}" sourceName="[EMERALD_PROPERTIES_SALES_DATA__1].[State]">
  <pivotTables>
    <pivotTable tabId="8" name="PivotTable7"/>
    <pivotTable tabId="6" name="PivotTable5"/>
    <pivotTable tabId="4" name="PivotTable3"/>
    <pivotTable tabId="7" name="PivotTable6"/>
    <pivotTable tabId="3" name="PivotTable1"/>
    <pivotTable tabId="5" name="PivotTable4"/>
  </pivotTables>
  <data>
    <olap pivotCacheId="1934388763">
      <levels count="2">
        <level uniqueName="[EMERALD_PROPERTIES_SALES_DATA__1].[State].[(All)]" sourceCaption="(All)" count="0"/>
        <level uniqueName="[EMERALD_PROPERTIES_SALES_DATA__1].[State].[State]" sourceCaption="State" count="2">
          <ranges>
            <range startItem="0">
              <i n="[EMERALD_PROPERTIES_SALES_DATA__1].[State].&amp;[Lagos]" c="Lagos"/>
              <i n="[EMERALD_PROPERTIES_SALES_DATA__1].[State].&amp;[Rivers]" c="Rivers"/>
            </range>
          </ranges>
        </level>
      </levels>
      <selections count="1">
        <selection n="[EMERALD_PROPERTIES_SALES_DATA__1].[St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spection" xr10:uid="{FBCAA542-962A-402C-9311-97CC9BD4E1AA}" cache="Slicer_Inspection" caption="Inspection" level="1" rowHeight="247650"/>
  <slicer name="Product" xr10:uid="{FFD85DC0-A873-41C3-B70E-438BA598F195}" cache="Slicer_Product" caption="Product" level="1" rowHeight="247650"/>
  <slicer name="Sales Status" xr10:uid="{701B7C82-B4DF-4919-A440-077103FB56E5}" cache="Slicer_Sales_Status" caption="Sales Status" level="1" rowHeight="247650"/>
  <slicer name="State" xr10:uid="{176CF4D1-A1C4-4431-AABD-73B66246FB63}" cache="Slicer_State" caption="Stat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spection 1" xr10:uid="{CDAED187-EA02-4BB7-8C67-191C879054DA}" cache="Slicer_Inspection" caption="Inspection" level="1" style="Slicer Style 2" rowHeight="247650"/>
  <slicer name="Product 1" xr10:uid="{13B4792A-E632-4818-AED5-AB635D9B8DED}" cache="Slicer_Product" caption="Product" columnCount="3" level="1" style="Slicer Style 2" rowHeight="247650"/>
  <slicer name="Sales Status 1" xr10:uid="{AE6D61B6-76D7-4BBC-A254-DE9F62F0D05F}" cache="Slicer_Sales_Status" caption="Sales Status" level="1" style="Slicer Style 2" rowHeight="247650"/>
  <slicer name="State 1" xr10:uid="{FEE8084C-8B14-48F3-8C28-8BF626C3C72C}" cache="Slicer_State" caption="State" level="1" style="Slicer Style 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22DAEB-27CF-417C-8121-C67A1A14E481}" name="EMERALD_PROPERTIES_SALES_DATA__1" displayName="EMERALD_PROPERTIES_SALES_DATA__1" ref="A1:H226" tableType="queryTable" totalsRowShown="0">
  <autoFilter ref="A1:H226" xr:uid="{6822DAEB-27CF-417C-8121-C67A1A14E481}"/>
  <tableColumns count="8">
    <tableColumn id="1" xr3:uid="{388E6CE2-9B0E-4A5D-B2E3-070BF8973E6D}" uniqueName="1" name="Client ID" queryTableFieldId="1" dataDxfId="7"/>
    <tableColumn id="2" xr3:uid="{25F27BBC-E47C-4C1B-8D94-3F4FFD01C133}" uniqueName="2" name="Client Gender " queryTableFieldId="2" dataDxfId="6"/>
    <tableColumn id="3" xr3:uid="{E6D7D937-6EB9-4362-B949-AAF51193ECA5}" uniqueName="3" name="Sales Person " queryTableFieldId="3" dataDxfId="5"/>
    <tableColumn id="4" xr3:uid="{79B7D0B5-18BC-45CF-8BAE-670D2CA2821B}" uniqueName="4" name="Date Given " queryTableFieldId="4" dataDxfId="4"/>
    <tableColumn id="5" xr3:uid="{3F0A60DF-BBB0-46AF-ACA1-B6EC1B2D46EC}" uniqueName="5" name="Sales Status" queryTableFieldId="5" dataDxfId="3"/>
    <tableColumn id="6" xr3:uid="{C853ECA6-D661-47F6-899B-D83F0DE9CB82}" uniqueName="6" name="State       " queryTableFieldId="6" dataDxfId="2"/>
    <tableColumn id="7" xr3:uid="{5C7C7C9D-33BA-4270-B84E-B5200E311C62}" uniqueName="7" name="Product" queryTableFieldId="7" dataDxfId="1"/>
    <tableColumn id="8" xr3:uid="{9C3A3264-F0A6-4B71-A6AC-2AD92B023C0E}" uniqueName="8" name="Inspection" queryTableFieldId="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076AA-14CF-4DD8-907D-DD25D6358DCC}">
  <dimension ref="A3:B10"/>
  <sheetViews>
    <sheetView topLeftCell="B1" workbookViewId="0">
      <selection activeCell="M8" sqref="M8"/>
    </sheetView>
  </sheetViews>
  <sheetFormatPr defaultRowHeight="14.4" x14ac:dyDescent="0.3"/>
  <cols>
    <col min="1" max="1" width="12.44140625" bestFit="1" customWidth="1"/>
    <col min="2" max="2" width="10.33203125" bestFit="1" customWidth="1"/>
  </cols>
  <sheetData>
    <row r="3" spans="1:2" x14ac:dyDescent="0.3">
      <c r="A3" s="3" t="s">
        <v>252</v>
      </c>
      <c r="B3" t="s">
        <v>254</v>
      </c>
    </row>
    <row r="4" spans="1:2" x14ac:dyDescent="0.3">
      <c r="A4" s="4" t="s">
        <v>22</v>
      </c>
      <c r="B4" s="1">
        <v>22</v>
      </c>
    </row>
    <row r="5" spans="1:2" x14ac:dyDescent="0.3">
      <c r="A5" s="4" t="s">
        <v>31</v>
      </c>
      <c r="B5" s="1">
        <v>48</v>
      </c>
    </row>
    <row r="6" spans="1:2" x14ac:dyDescent="0.3">
      <c r="A6" s="4" t="s">
        <v>29</v>
      </c>
      <c r="B6" s="1">
        <v>43</v>
      </c>
    </row>
    <row r="7" spans="1:2" x14ac:dyDescent="0.3">
      <c r="A7" s="4" t="s">
        <v>26</v>
      </c>
      <c r="B7" s="1">
        <v>49</v>
      </c>
    </row>
    <row r="8" spans="1:2" x14ac:dyDescent="0.3">
      <c r="A8" s="4" t="s">
        <v>17</v>
      </c>
      <c r="B8" s="1">
        <v>21</v>
      </c>
    </row>
    <row r="9" spans="1:2" x14ac:dyDescent="0.3">
      <c r="A9" s="4" t="s">
        <v>10</v>
      </c>
      <c r="B9" s="1">
        <v>42</v>
      </c>
    </row>
    <row r="10" spans="1:2" x14ac:dyDescent="0.3">
      <c r="A10" s="4" t="s">
        <v>253</v>
      </c>
      <c r="B10" s="1">
        <v>225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6F00-C41D-4062-869A-D5EDA50B8E36}">
  <dimension ref="A3:B6"/>
  <sheetViews>
    <sheetView workbookViewId="0">
      <selection activeCell="N14" sqref="N14:N15"/>
    </sheetView>
  </sheetViews>
  <sheetFormatPr defaultRowHeight="14.4" x14ac:dyDescent="0.3"/>
  <cols>
    <col min="1" max="1" width="12.44140625" bestFit="1" customWidth="1"/>
    <col min="2" max="2" width="10.33203125" bestFit="1" customWidth="1"/>
  </cols>
  <sheetData>
    <row r="3" spans="1:2" x14ac:dyDescent="0.3">
      <c r="A3" s="3" t="s">
        <v>252</v>
      </c>
      <c r="B3" t="s">
        <v>254</v>
      </c>
    </row>
    <row r="4" spans="1:2" x14ac:dyDescent="0.3">
      <c r="A4" s="4" t="s">
        <v>9</v>
      </c>
      <c r="B4" s="1">
        <v>124</v>
      </c>
    </row>
    <row r="5" spans="1:2" x14ac:dyDescent="0.3">
      <c r="A5" s="4" t="s">
        <v>16</v>
      </c>
      <c r="B5" s="1">
        <v>101</v>
      </c>
    </row>
    <row r="6" spans="1:2" x14ac:dyDescent="0.3">
      <c r="A6" s="4" t="s">
        <v>253</v>
      </c>
      <c r="B6" s="1">
        <v>225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AFA78-22B5-4B1B-AD0A-D04BDBC8587B}">
  <dimension ref="A3:B8"/>
  <sheetViews>
    <sheetView workbookViewId="0">
      <selection activeCell="P15" sqref="P15"/>
    </sheetView>
  </sheetViews>
  <sheetFormatPr defaultRowHeight="14.4" x14ac:dyDescent="0.3"/>
  <cols>
    <col min="1" max="1" width="12.44140625" bestFit="1" customWidth="1"/>
    <col min="2" max="2" width="10.33203125" bestFit="1" customWidth="1"/>
  </cols>
  <sheetData>
    <row r="3" spans="1:2" x14ac:dyDescent="0.3">
      <c r="A3" s="3" t="s">
        <v>252</v>
      </c>
      <c r="B3" t="s">
        <v>254</v>
      </c>
    </row>
    <row r="4" spans="1:2" x14ac:dyDescent="0.3">
      <c r="A4" s="4" t="s">
        <v>27</v>
      </c>
      <c r="B4" s="1">
        <v>30</v>
      </c>
    </row>
    <row r="5" spans="1:2" x14ac:dyDescent="0.3">
      <c r="A5" s="4" t="s">
        <v>23</v>
      </c>
      <c r="B5" s="1">
        <v>57</v>
      </c>
    </row>
    <row r="6" spans="1:2" x14ac:dyDescent="0.3">
      <c r="A6" s="4" t="s">
        <v>11</v>
      </c>
      <c r="B6" s="1">
        <v>100</v>
      </c>
    </row>
    <row r="7" spans="1:2" x14ac:dyDescent="0.3">
      <c r="A7" s="4" t="s">
        <v>18</v>
      </c>
      <c r="B7" s="1">
        <v>38</v>
      </c>
    </row>
    <row r="8" spans="1:2" x14ac:dyDescent="0.3">
      <c r="A8" s="4" t="s">
        <v>253</v>
      </c>
      <c r="B8" s="1">
        <v>225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69CCF-FDDB-4D5D-A4E2-241FB20923C4}">
  <dimension ref="B2:O12"/>
  <sheetViews>
    <sheetView workbookViewId="0">
      <selection activeCell="J37" sqref="J37"/>
    </sheetView>
  </sheetViews>
  <sheetFormatPr defaultRowHeight="14.4" x14ac:dyDescent="0.3"/>
  <cols>
    <col min="2" max="2" width="12.44140625" bestFit="1" customWidth="1"/>
    <col min="3" max="3" width="10.33203125" bestFit="1" customWidth="1"/>
  </cols>
  <sheetData>
    <row r="2" spans="2:15" x14ac:dyDescent="0.3">
      <c r="B2" s="3" t="s">
        <v>252</v>
      </c>
      <c r="C2" t="s">
        <v>254</v>
      </c>
    </row>
    <row r="3" spans="2:15" x14ac:dyDescent="0.3">
      <c r="B3" s="4" t="s">
        <v>12</v>
      </c>
      <c r="C3" s="1">
        <v>132</v>
      </c>
    </row>
    <row r="4" spans="2:15" x14ac:dyDescent="0.3">
      <c r="B4" s="4" t="s">
        <v>24</v>
      </c>
      <c r="C4" s="1">
        <v>93</v>
      </c>
    </row>
    <row r="5" spans="2:15" x14ac:dyDescent="0.3">
      <c r="B5" s="4" t="s">
        <v>253</v>
      </c>
      <c r="C5" s="1">
        <v>225</v>
      </c>
    </row>
    <row r="12" spans="2:15" ht="18" x14ac:dyDescent="0.35">
      <c r="O12" s="6">
        <f>C5</f>
        <v>225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491C3-C137-4928-905C-93ACB9F5D2D7}">
  <dimension ref="B2:C6"/>
  <sheetViews>
    <sheetView workbookViewId="0">
      <selection activeCell="P7" sqref="P7"/>
    </sheetView>
  </sheetViews>
  <sheetFormatPr defaultRowHeight="14.4" x14ac:dyDescent="0.3"/>
  <cols>
    <col min="2" max="2" width="12.44140625" bestFit="1" customWidth="1"/>
    <col min="3" max="3" width="10.33203125" bestFit="1" customWidth="1"/>
  </cols>
  <sheetData>
    <row r="2" spans="2:3" x14ac:dyDescent="0.3">
      <c r="B2" s="3" t="s">
        <v>252</v>
      </c>
      <c r="C2" t="s">
        <v>254</v>
      </c>
    </row>
    <row r="3" spans="2:3" x14ac:dyDescent="0.3">
      <c r="B3" s="4" t="s">
        <v>19</v>
      </c>
      <c r="C3" s="1">
        <v>104</v>
      </c>
    </row>
    <row r="4" spans="2:3" x14ac:dyDescent="0.3">
      <c r="B4" s="4" t="s">
        <v>35</v>
      </c>
      <c r="C4" s="1">
        <v>22</v>
      </c>
    </row>
    <row r="5" spans="2:3" x14ac:dyDescent="0.3">
      <c r="B5" s="4" t="s">
        <v>13</v>
      </c>
      <c r="C5" s="1">
        <v>99</v>
      </c>
    </row>
    <row r="6" spans="2:3" x14ac:dyDescent="0.3">
      <c r="B6" s="4" t="s">
        <v>253</v>
      </c>
      <c r="C6" s="1">
        <v>225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CA5A1-FCDC-4515-A067-8FFC631F1E41}">
  <dimension ref="B2:C5"/>
  <sheetViews>
    <sheetView workbookViewId="0">
      <selection activeCell="C3" sqref="C3"/>
    </sheetView>
  </sheetViews>
  <sheetFormatPr defaultRowHeight="14.4" x14ac:dyDescent="0.3"/>
  <cols>
    <col min="2" max="2" width="12.44140625" bestFit="1" customWidth="1"/>
    <col min="3" max="3" width="10.33203125" bestFit="1" customWidth="1"/>
    <col min="5" max="5" width="12.109375" customWidth="1"/>
    <col min="6" max="6" width="12.21875" customWidth="1"/>
  </cols>
  <sheetData>
    <row r="2" spans="2:3" x14ac:dyDescent="0.3">
      <c r="B2" s="3" t="s">
        <v>252</v>
      </c>
      <c r="C2" t="s">
        <v>254</v>
      </c>
    </row>
    <row r="3" spans="2:3" x14ac:dyDescent="0.3">
      <c r="B3" s="4" t="s">
        <v>20</v>
      </c>
      <c r="C3" s="1">
        <v>54</v>
      </c>
    </row>
    <row r="4" spans="2:3" x14ac:dyDescent="0.3">
      <c r="B4" s="4" t="s">
        <v>14</v>
      </c>
      <c r="C4" s="1">
        <v>171</v>
      </c>
    </row>
    <row r="5" spans="2:3" x14ac:dyDescent="0.3">
      <c r="B5" s="4" t="s">
        <v>253</v>
      </c>
      <c r="C5" s="1">
        <v>225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C47A9-EB91-4C11-A991-FE2C77B03259}">
  <dimension ref="A1:H226"/>
  <sheetViews>
    <sheetView topLeftCell="A2" workbookViewId="0">
      <selection activeCell="B5" sqref="B5"/>
    </sheetView>
  </sheetViews>
  <sheetFormatPr defaultRowHeight="14.4" x14ac:dyDescent="0.3"/>
  <cols>
    <col min="1" max="1" width="10.33203125" bestFit="1" customWidth="1"/>
    <col min="2" max="2" width="15" bestFit="1" customWidth="1"/>
    <col min="3" max="3" width="14.109375" bestFit="1" customWidth="1"/>
    <col min="4" max="4" width="12.5546875" bestFit="1" customWidth="1"/>
    <col min="5" max="5" width="13.44140625" bestFit="1" customWidth="1"/>
    <col min="6" max="6" width="10" bestFit="1" customWidth="1"/>
    <col min="7" max="7" width="10.88671875" bestFit="1" customWidth="1"/>
    <col min="8" max="8" width="12" bestFit="1" customWidth="1"/>
  </cols>
  <sheetData>
    <row r="1" spans="1:8" x14ac:dyDescent="0.3">
      <c r="A1" t="s">
        <v>0</v>
      </c>
      <c r="B1" t="s">
        <v>1</v>
      </c>
      <c r="C1" t="s">
        <v>2</v>
      </c>
      <c r="D1" t="s">
        <v>3</v>
      </c>
      <c r="E1" t="s">
        <v>4</v>
      </c>
      <c r="F1" t="s">
        <v>5</v>
      </c>
      <c r="G1" t="s">
        <v>6</v>
      </c>
      <c r="H1" t="s">
        <v>7</v>
      </c>
    </row>
    <row r="2" spans="1:8" x14ac:dyDescent="0.3">
      <c r="A2" s="1" t="s">
        <v>8</v>
      </c>
      <c r="B2" s="1" t="s">
        <v>9</v>
      </c>
      <c r="C2" s="1" t="s">
        <v>10</v>
      </c>
      <c r="D2" s="2">
        <v>45139</v>
      </c>
      <c r="E2" s="1" t="s">
        <v>11</v>
      </c>
      <c r="F2" s="1" t="s">
        <v>12</v>
      </c>
      <c r="G2" s="1" t="s">
        <v>13</v>
      </c>
      <c r="H2" s="1" t="s">
        <v>14</v>
      </c>
    </row>
    <row r="3" spans="1:8" x14ac:dyDescent="0.3">
      <c r="A3" s="1" t="s">
        <v>15</v>
      </c>
      <c r="B3" s="1" t="s">
        <v>16</v>
      </c>
      <c r="C3" s="1" t="s">
        <v>17</v>
      </c>
      <c r="D3" s="2">
        <v>45140</v>
      </c>
      <c r="E3" s="1" t="s">
        <v>18</v>
      </c>
      <c r="F3" s="1" t="s">
        <v>12</v>
      </c>
      <c r="G3" s="1" t="s">
        <v>19</v>
      </c>
      <c r="H3" s="1" t="s">
        <v>20</v>
      </c>
    </row>
    <row r="4" spans="1:8" x14ac:dyDescent="0.3">
      <c r="A4" s="1" t="s">
        <v>21</v>
      </c>
      <c r="B4" s="1" t="s">
        <v>9</v>
      </c>
      <c r="C4" s="1" t="s">
        <v>22</v>
      </c>
      <c r="D4" s="2">
        <v>45141</v>
      </c>
      <c r="E4" s="1" t="s">
        <v>23</v>
      </c>
      <c r="F4" s="1" t="s">
        <v>24</v>
      </c>
      <c r="G4" s="1" t="s">
        <v>19</v>
      </c>
      <c r="H4" s="1" t="s">
        <v>14</v>
      </c>
    </row>
    <row r="5" spans="1:8" x14ac:dyDescent="0.3">
      <c r="A5" s="1" t="s">
        <v>25</v>
      </c>
      <c r="B5" s="1" t="s">
        <v>9</v>
      </c>
      <c r="C5" s="1" t="s">
        <v>26</v>
      </c>
      <c r="D5" s="2">
        <v>45142</v>
      </c>
      <c r="E5" s="1" t="s">
        <v>27</v>
      </c>
      <c r="F5" s="1" t="s">
        <v>24</v>
      </c>
      <c r="G5" s="1" t="s">
        <v>13</v>
      </c>
      <c r="H5" s="1" t="s">
        <v>14</v>
      </c>
    </row>
    <row r="6" spans="1:8" x14ac:dyDescent="0.3">
      <c r="A6" s="1" t="s">
        <v>28</v>
      </c>
      <c r="B6" s="1" t="s">
        <v>16</v>
      </c>
      <c r="C6" s="1" t="s">
        <v>29</v>
      </c>
      <c r="D6" s="2">
        <v>45143</v>
      </c>
      <c r="E6" s="1" t="s">
        <v>11</v>
      </c>
      <c r="F6" s="1" t="s">
        <v>12</v>
      </c>
      <c r="G6" s="1" t="s">
        <v>13</v>
      </c>
      <c r="H6" s="1" t="s">
        <v>14</v>
      </c>
    </row>
    <row r="7" spans="1:8" x14ac:dyDescent="0.3">
      <c r="A7" s="1" t="s">
        <v>30</v>
      </c>
      <c r="B7" s="1" t="s">
        <v>9</v>
      </c>
      <c r="C7" s="1" t="s">
        <v>31</v>
      </c>
      <c r="D7" s="2">
        <v>45144</v>
      </c>
      <c r="E7" s="1" t="s">
        <v>23</v>
      </c>
      <c r="F7" s="1" t="s">
        <v>12</v>
      </c>
      <c r="G7" s="1" t="s">
        <v>19</v>
      </c>
      <c r="H7" s="1" t="s">
        <v>20</v>
      </c>
    </row>
    <row r="8" spans="1:8" x14ac:dyDescent="0.3">
      <c r="A8" s="1" t="s">
        <v>32</v>
      </c>
      <c r="B8" s="1" t="s">
        <v>9</v>
      </c>
      <c r="C8" s="1" t="s">
        <v>10</v>
      </c>
      <c r="D8" s="2">
        <v>45145</v>
      </c>
      <c r="E8" s="1" t="s">
        <v>27</v>
      </c>
      <c r="F8" s="1" t="s">
        <v>24</v>
      </c>
      <c r="G8" s="1" t="s">
        <v>19</v>
      </c>
      <c r="H8" s="1" t="s">
        <v>14</v>
      </c>
    </row>
    <row r="9" spans="1:8" x14ac:dyDescent="0.3">
      <c r="A9" s="1" t="s">
        <v>33</v>
      </c>
      <c r="B9" s="1" t="s">
        <v>16</v>
      </c>
      <c r="C9" s="1" t="s">
        <v>17</v>
      </c>
      <c r="D9" s="2">
        <v>45146</v>
      </c>
      <c r="E9" s="1" t="s">
        <v>11</v>
      </c>
      <c r="F9" s="1" t="s">
        <v>12</v>
      </c>
      <c r="G9" s="1" t="s">
        <v>13</v>
      </c>
      <c r="H9" s="1" t="s">
        <v>14</v>
      </c>
    </row>
    <row r="10" spans="1:8" x14ac:dyDescent="0.3">
      <c r="A10" s="1" t="s">
        <v>34</v>
      </c>
      <c r="B10" s="1" t="s">
        <v>9</v>
      </c>
      <c r="C10" s="1" t="s">
        <v>22</v>
      </c>
      <c r="D10" s="2">
        <v>45147</v>
      </c>
      <c r="E10" s="1" t="s">
        <v>18</v>
      </c>
      <c r="F10" s="1" t="s">
        <v>12</v>
      </c>
      <c r="G10" s="1" t="s">
        <v>35</v>
      </c>
      <c r="H10" s="1" t="s">
        <v>20</v>
      </c>
    </row>
    <row r="11" spans="1:8" x14ac:dyDescent="0.3">
      <c r="A11" s="1" t="s">
        <v>36</v>
      </c>
      <c r="B11" s="1" t="s">
        <v>16</v>
      </c>
      <c r="C11" s="1" t="s">
        <v>26</v>
      </c>
      <c r="D11" s="2">
        <v>45148</v>
      </c>
      <c r="E11" s="1" t="s">
        <v>11</v>
      </c>
      <c r="F11" s="1" t="s">
        <v>24</v>
      </c>
      <c r="G11" s="1" t="s">
        <v>19</v>
      </c>
      <c r="H11" s="1" t="s">
        <v>14</v>
      </c>
    </row>
    <row r="12" spans="1:8" x14ac:dyDescent="0.3">
      <c r="A12" s="1" t="s">
        <v>37</v>
      </c>
      <c r="B12" s="1" t="s">
        <v>9</v>
      </c>
      <c r="C12" s="1" t="s">
        <v>29</v>
      </c>
      <c r="D12" s="2">
        <v>45149</v>
      </c>
      <c r="E12" s="1" t="s">
        <v>23</v>
      </c>
      <c r="F12" s="1" t="s">
        <v>12</v>
      </c>
      <c r="G12" s="1" t="s">
        <v>19</v>
      </c>
      <c r="H12" s="1" t="s">
        <v>14</v>
      </c>
    </row>
    <row r="13" spans="1:8" x14ac:dyDescent="0.3">
      <c r="A13" s="1" t="s">
        <v>38</v>
      </c>
      <c r="B13" s="1" t="s">
        <v>16</v>
      </c>
      <c r="C13" s="1" t="s">
        <v>31</v>
      </c>
      <c r="D13" s="2">
        <v>45150</v>
      </c>
      <c r="E13" s="1" t="s">
        <v>11</v>
      </c>
      <c r="F13" s="1" t="s">
        <v>12</v>
      </c>
      <c r="G13" s="1" t="s">
        <v>13</v>
      </c>
      <c r="H13" s="1" t="s">
        <v>14</v>
      </c>
    </row>
    <row r="14" spans="1:8" x14ac:dyDescent="0.3">
      <c r="A14" s="1" t="s">
        <v>39</v>
      </c>
      <c r="B14" s="1" t="s">
        <v>9</v>
      </c>
      <c r="C14" s="1" t="s">
        <v>10</v>
      </c>
      <c r="D14" s="2">
        <v>45151</v>
      </c>
      <c r="E14" s="1" t="s">
        <v>27</v>
      </c>
      <c r="F14" s="1" t="s">
        <v>24</v>
      </c>
      <c r="G14" s="1" t="s">
        <v>19</v>
      </c>
      <c r="H14" s="1" t="s">
        <v>14</v>
      </c>
    </row>
    <row r="15" spans="1:8" x14ac:dyDescent="0.3">
      <c r="A15" s="1" t="s">
        <v>40</v>
      </c>
      <c r="B15" s="1" t="s">
        <v>16</v>
      </c>
      <c r="C15" s="1" t="s">
        <v>26</v>
      </c>
      <c r="D15" s="2">
        <v>45152</v>
      </c>
      <c r="E15" s="1" t="s">
        <v>11</v>
      </c>
      <c r="F15" s="1" t="s">
        <v>12</v>
      </c>
      <c r="G15" s="1" t="s">
        <v>13</v>
      </c>
      <c r="H15" s="1" t="s">
        <v>14</v>
      </c>
    </row>
    <row r="16" spans="1:8" x14ac:dyDescent="0.3">
      <c r="A16" s="1" t="s">
        <v>41</v>
      </c>
      <c r="B16" s="1" t="s">
        <v>9</v>
      </c>
      <c r="C16" s="1" t="s">
        <v>29</v>
      </c>
      <c r="D16" s="2">
        <v>45153</v>
      </c>
      <c r="E16" s="1" t="s">
        <v>23</v>
      </c>
      <c r="F16" s="1" t="s">
        <v>24</v>
      </c>
      <c r="G16" s="1" t="s">
        <v>13</v>
      </c>
      <c r="H16" s="1" t="s">
        <v>20</v>
      </c>
    </row>
    <row r="17" spans="1:8" x14ac:dyDescent="0.3">
      <c r="A17" s="1" t="s">
        <v>42</v>
      </c>
      <c r="B17" s="1" t="s">
        <v>16</v>
      </c>
      <c r="C17" s="1" t="s">
        <v>31</v>
      </c>
      <c r="D17" s="2">
        <v>45154</v>
      </c>
      <c r="E17" s="1" t="s">
        <v>18</v>
      </c>
      <c r="F17" s="1" t="s">
        <v>12</v>
      </c>
      <c r="G17" s="1" t="s">
        <v>35</v>
      </c>
      <c r="H17" s="1" t="s">
        <v>20</v>
      </c>
    </row>
    <row r="18" spans="1:8" x14ac:dyDescent="0.3">
      <c r="A18" s="1" t="s">
        <v>43</v>
      </c>
      <c r="B18" s="1" t="s">
        <v>9</v>
      </c>
      <c r="C18" s="1" t="s">
        <v>17</v>
      </c>
      <c r="D18" s="2">
        <v>45155</v>
      </c>
      <c r="E18" s="1" t="s">
        <v>11</v>
      </c>
      <c r="F18" s="1" t="s">
        <v>24</v>
      </c>
      <c r="G18" s="1" t="s">
        <v>19</v>
      </c>
      <c r="H18" s="1" t="s">
        <v>14</v>
      </c>
    </row>
    <row r="19" spans="1:8" x14ac:dyDescent="0.3">
      <c r="A19" s="1" t="s">
        <v>44</v>
      </c>
      <c r="B19" s="1" t="s">
        <v>9</v>
      </c>
      <c r="C19" s="1" t="s">
        <v>22</v>
      </c>
      <c r="D19" s="2">
        <v>45156</v>
      </c>
      <c r="E19" s="1" t="s">
        <v>23</v>
      </c>
      <c r="F19" s="1" t="s">
        <v>12</v>
      </c>
      <c r="G19" s="1" t="s">
        <v>19</v>
      </c>
      <c r="H19" s="1" t="s">
        <v>14</v>
      </c>
    </row>
    <row r="20" spans="1:8" x14ac:dyDescent="0.3">
      <c r="A20" s="1" t="s">
        <v>45</v>
      </c>
      <c r="B20" s="1" t="s">
        <v>16</v>
      </c>
      <c r="C20" s="1" t="s">
        <v>26</v>
      </c>
      <c r="D20" s="2">
        <v>45157</v>
      </c>
      <c r="E20" s="1" t="s">
        <v>11</v>
      </c>
      <c r="F20" s="1" t="s">
        <v>12</v>
      </c>
      <c r="G20" s="1" t="s">
        <v>13</v>
      </c>
      <c r="H20" s="1" t="s">
        <v>14</v>
      </c>
    </row>
    <row r="21" spans="1:8" x14ac:dyDescent="0.3">
      <c r="A21" s="1" t="s">
        <v>46</v>
      </c>
      <c r="B21" s="1" t="s">
        <v>9</v>
      </c>
      <c r="C21" s="1" t="s">
        <v>29</v>
      </c>
      <c r="D21" s="2">
        <v>45158</v>
      </c>
      <c r="E21" s="1" t="s">
        <v>23</v>
      </c>
      <c r="F21" s="1" t="s">
        <v>24</v>
      </c>
      <c r="G21" s="1" t="s">
        <v>19</v>
      </c>
      <c r="H21" s="1" t="s">
        <v>14</v>
      </c>
    </row>
    <row r="22" spans="1:8" x14ac:dyDescent="0.3">
      <c r="A22" s="1" t="s">
        <v>47</v>
      </c>
      <c r="B22" s="1" t="s">
        <v>16</v>
      </c>
      <c r="C22" s="1" t="s">
        <v>31</v>
      </c>
      <c r="D22" s="2">
        <v>45143</v>
      </c>
      <c r="E22" s="1" t="s">
        <v>11</v>
      </c>
      <c r="F22" s="1" t="s">
        <v>12</v>
      </c>
      <c r="G22" s="1" t="s">
        <v>13</v>
      </c>
      <c r="H22" s="1" t="s">
        <v>14</v>
      </c>
    </row>
    <row r="23" spans="1:8" x14ac:dyDescent="0.3">
      <c r="A23" s="1" t="s">
        <v>48</v>
      </c>
      <c r="B23" s="1" t="s">
        <v>9</v>
      </c>
      <c r="C23" s="1" t="s">
        <v>10</v>
      </c>
      <c r="D23" s="2">
        <v>45146</v>
      </c>
      <c r="E23" s="1" t="s">
        <v>18</v>
      </c>
      <c r="F23" s="1" t="s">
        <v>24</v>
      </c>
      <c r="G23" s="1" t="s">
        <v>19</v>
      </c>
      <c r="H23" s="1" t="s">
        <v>20</v>
      </c>
    </row>
    <row r="24" spans="1:8" x14ac:dyDescent="0.3">
      <c r="A24" s="1" t="s">
        <v>49</v>
      </c>
      <c r="B24" s="1" t="s">
        <v>16</v>
      </c>
      <c r="C24" s="1" t="s">
        <v>17</v>
      </c>
      <c r="D24" s="2">
        <v>45150</v>
      </c>
      <c r="E24" s="1" t="s">
        <v>23</v>
      </c>
      <c r="F24" s="1" t="s">
        <v>12</v>
      </c>
      <c r="G24" s="1" t="s">
        <v>13</v>
      </c>
      <c r="H24" s="1" t="s">
        <v>14</v>
      </c>
    </row>
    <row r="25" spans="1:8" x14ac:dyDescent="0.3">
      <c r="A25" s="1" t="s">
        <v>50</v>
      </c>
      <c r="B25" s="1" t="s">
        <v>9</v>
      </c>
      <c r="C25" s="1" t="s">
        <v>22</v>
      </c>
      <c r="D25" s="2">
        <v>45153</v>
      </c>
      <c r="E25" s="1" t="s">
        <v>11</v>
      </c>
      <c r="F25" s="1" t="s">
        <v>24</v>
      </c>
      <c r="G25" s="1" t="s">
        <v>19</v>
      </c>
      <c r="H25" s="1" t="s">
        <v>14</v>
      </c>
    </row>
    <row r="26" spans="1:8" x14ac:dyDescent="0.3">
      <c r="A26" s="1" t="s">
        <v>51</v>
      </c>
      <c r="B26" s="1" t="s">
        <v>9</v>
      </c>
      <c r="C26" s="1" t="s">
        <v>26</v>
      </c>
      <c r="D26" s="2">
        <v>45156</v>
      </c>
      <c r="E26" s="1" t="s">
        <v>27</v>
      </c>
      <c r="F26" s="1" t="s">
        <v>24</v>
      </c>
      <c r="G26" s="1" t="s">
        <v>13</v>
      </c>
      <c r="H26" s="1" t="s">
        <v>14</v>
      </c>
    </row>
    <row r="27" spans="1:8" x14ac:dyDescent="0.3">
      <c r="A27" s="1" t="s">
        <v>52</v>
      </c>
      <c r="B27" s="1" t="s">
        <v>16</v>
      </c>
      <c r="C27" s="1" t="s">
        <v>29</v>
      </c>
      <c r="D27" s="2">
        <v>45160</v>
      </c>
      <c r="E27" s="1" t="s">
        <v>11</v>
      </c>
      <c r="F27" s="1" t="s">
        <v>12</v>
      </c>
      <c r="G27" s="1" t="s">
        <v>13</v>
      </c>
      <c r="H27" s="1" t="s">
        <v>14</v>
      </c>
    </row>
    <row r="28" spans="1:8" x14ac:dyDescent="0.3">
      <c r="A28" s="1" t="s">
        <v>53</v>
      </c>
      <c r="B28" s="1" t="s">
        <v>9</v>
      </c>
      <c r="C28" s="1" t="s">
        <v>31</v>
      </c>
      <c r="D28" s="2">
        <v>45164</v>
      </c>
      <c r="E28" s="1" t="s">
        <v>23</v>
      </c>
      <c r="F28" s="1" t="s">
        <v>12</v>
      </c>
      <c r="G28" s="1" t="s">
        <v>19</v>
      </c>
      <c r="H28" s="1" t="s">
        <v>20</v>
      </c>
    </row>
    <row r="29" spans="1:8" x14ac:dyDescent="0.3">
      <c r="A29" s="1" t="s">
        <v>54</v>
      </c>
      <c r="B29" s="1" t="s">
        <v>9</v>
      </c>
      <c r="C29" s="1" t="s">
        <v>10</v>
      </c>
      <c r="D29" s="2">
        <v>45139</v>
      </c>
      <c r="E29" s="1" t="s">
        <v>27</v>
      </c>
      <c r="F29" s="1" t="s">
        <v>24</v>
      </c>
      <c r="G29" s="1" t="s">
        <v>19</v>
      </c>
      <c r="H29" s="1" t="s">
        <v>14</v>
      </c>
    </row>
    <row r="30" spans="1:8" x14ac:dyDescent="0.3">
      <c r="A30" s="1" t="s">
        <v>55</v>
      </c>
      <c r="B30" s="1" t="s">
        <v>16</v>
      </c>
      <c r="C30" s="1" t="s">
        <v>17</v>
      </c>
      <c r="D30" s="2">
        <v>45142</v>
      </c>
      <c r="E30" s="1" t="s">
        <v>11</v>
      </c>
      <c r="F30" s="1" t="s">
        <v>12</v>
      </c>
      <c r="G30" s="1" t="s">
        <v>13</v>
      </c>
      <c r="H30" s="1" t="s">
        <v>14</v>
      </c>
    </row>
    <row r="31" spans="1:8" x14ac:dyDescent="0.3">
      <c r="A31" s="1" t="s">
        <v>56</v>
      </c>
      <c r="B31" s="1" t="s">
        <v>9</v>
      </c>
      <c r="C31" s="1" t="s">
        <v>22</v>
      </c>
      <c r="D31" s="2">
        <v>45145</v>
      </c>
      <c r="E31" s="1" t="s">
        <v>18</v>
      </c>
      <c r="F31" s="1" t="s">
        <v>12</v>
      </c>
      <c r="G31" s="1" t="s">
        <v>35</v>
      </c>
      <c r="H31" s="1" t="s">
        <v>20</v>
      </c>
    </row>
    <row r="32" spans="1:8" x14ac:dyDescent="0.3">
      <c r="A32" s="1" t="s">
        <v>57</v>
      </c>
      <c r="B32" s="1" t="s">
        <v>16</v>
      </c>
      <c r="C32" s="1" t="s">
        <v>26</v>
      </c>
      <c r="D32" s="2">
        <v>45148</v>
      </c>
      <c r="E32" s="1" t="s">
        <v>11</v>
      </c>
      <c r="F32" s="1" t="s">
        <v>24</v>
      </c>
      <c r="G32" s="1" t="s">
        <v>19</v>
      </c>
      <c r="H32" s="1" t="s">
        <v>14</v>
      </c>
    </row>
    <row r="33" spans="1:8" x14ac:dyDescent="0.3">
      <c r="A33" s="1" t="s">
        <v>58</v>
      </c>
      <c r="B33" s="1" t="s">
        <v>9</v>
      </c>
      <c r="C33" s="1" t="s">
        <v>29</v>
      </c>
      <c r="D33" s="2">
        <v>45151</v>
      </c>
      <c r="E33" s="1" t="s">
        <v>23</v>
      </c>
      <c r="F33" s="1" t="s">
        <v>12</v>
      </c>
      <c r="G33" s="1" t="s">
        <v>19</v>
      </c>
      <c r="H33" s="1" t="s">
        <v>14</v>
      </c>
    </row>
    <row r="34" spans="1:8" x14ac:dyDescent="0.3">
      <c r="A34" s="1" t="s">
        <v>59</v>
      </c>
      <c r="B34" s="1" t="s">
        <v>16</v>
      </c>
      <c r="C34" s="1" t="s">
        <v>31</v>
      </c>
      <c r="D34" s="2">
        <v>45154</v>
      </c>
      <c r="E34" s="1" t="s">
        <v>11</v>
      </c>
      <c r="F34" s="1" t="s">
        <v>12</v>
      </c>
      <c r="G34" s="1" t="s">
        <v>13</v>
      </c>
      <c r="H34" s="1" t="s">
        <v>14</v>
      </c>
    </row>
    <row r="35" spans="1:8" x14ac:dyDescent="0.3">
      <c r="A35" s="1" t="s">
        <v>60</v>
      </c>
      <c r="B35" s="1" t="s">
        <v>9</v>
      </c>
      <c r="C35" s="1" t="s">
        <v>10</v>
      </c>
      <c r="D35" s="2">
        <v>45157</v>
      </c>
      <c r="E35" s="1" t="s">
        <v>27</v>
      </c>
      <c r="F35" s="1" t="s">
        <v>24</v>
      </c>
      <c r="G35" s="1" t="s">
        <v>19</v>
      </c>
      <c r="H35" s="1" t="s">
        <v>14</v>
      </c>
    </row>
    <row r="36" spans="1:8" x14ac:dyDescent="0.3">
      <c r="A36" s="1" t="s">
        <v>61</v>
      </c>
      <c r="B36" s="1" t="s">
        <v>16</v>
      </c>
      <c r="C36" s="1" t="s">
        <v>26</v>
      </c>
      <c r="D36" s="2">
        <v>45161</v>
      </c>
      <c r="E36" s="1" t="s">
        <v>11</v>
      </c>
      <c r="F36" s="1" t="s">
        <v>12</v>
      </c>
      <c r="G36" s="1" t="s">
        <v>13</v>
      </c>
      <c r="H36" s="1" t="s">
        <v>14</v>
      </c>
    </row>
    <row r="37" spans="1:8" x14ac:dyDescent="0.3">
      <c r="A37" s="1" t="s">
        <v>62</v>
      </c>
      <c r="B37" s="1" t="s">
        <v>9</v>
      </c>
      <c r="C37" s="1" t="s">
        <v>29</v>
      </c>
      <c r="D37" s="2">
        <v>45165</v>
      </c>
      <c r="E37" s="1" t="s">
        <v>23</v>
      </c>
      <c r="F37" s="1" t="s">
        <v>24</v>
      </c>
      <c r="G37" s="1" t="s">
        <v>13</v>
      </c>
      <c r="H37" s="1" t="s">
        <v>20</v>
      </c>
    </row>
    <row r="38" spans="1:8" x14ac:dyDescent="0.3">
      <c r="A38" s="1" t="s">
        <v>63</v>
      </c>
      <c r="B38" s="1" t="s">
        <v>16</v>
      </c>
      <c r="C38" s="1" t="s">
        <v>31</v>
      </c>
      <c r="D38" s="2">
        <v>45140</v>
      </c>
      <c r="E38" s="1" t="s">
        <v>18</v>
      </c>
      <c r="F38" s="1" t="s">
        <v>12</v>
      </c>
      <c r="G38" s="1" t="s">
        <v>35</v>
      </c>
      <c r="H38" s="1" t="s">
        <v>20</v>
      </c>
    </row>
    <row r="39" spans="1:8" x14ac:dyDescent="0.3">
      <c r="A39" s="1" t="s">
        <v>64</v>
      </c>
      <c r="B39" s="1" t="s">
        <v>9</v>
      </c>
      <c r="C39" s="1" t="s">
        <v>17</v>
      </c>
      <c r="D39" s="2">
        <v>45144</v>
      </c>
      <c r="E39" s="1" t="s">
        <v>11</v>
      </c>
      <c r="F39" s="1" t="s">
        <v>24</v>
      </c>
      <c r="G39" s="1" t="s">
        <v>19</v>
      </c>
      <c r="H39" s="1" t="s">
        <v>14</v>
      </c>
    </row>
    <row r="40" spans="1:8" x14ac:dyDescent="0.3">
      <c r="A40" s="1" t="s">
        <v>65</v>
      </c>
      <c r="B40" s="1" t="s">
        <v>9</v>
      </c>
      <c r="C40" s="1" t="s">
        <v>22</v>
      </c>
      <c r="D40" s="2">
        <v>45147</v>
      </c>
      <c r="E40" s="1" t="s">
        <v>23</v>
      </c>
      <c r="F40" s="1" t="s">
        <v>12</v>
      </c>
      <c r="G40" s="1" t="s">
        <v>19</v>
      </c>
      <c r="H40" s="1" t="s">
        <v>14</v>
      </c>
    </row>
    <row r="41" spans="1:8" x14ac:dyDescent="0.3">
      <c r="A41" s="1" t="s">
        <v>66</v>
      </c>
      <c r="B41" s="1" t="s">
        <v>16</v>
      </c>
      <c r="C41" s="1" t="s">
        <v>26</v>
      </c>
      <c r="D41" s="2">
        <v>45152</v>
      </c>
      <c r="E41" s="1" t="s">
        <v>11</v>
      </c>
      <c r="F41" s="1" t="s">
        <v>12</v>
      </c>
      <c r="G41" s="1" t="s">
        <v>13</v>
      </c>
      <c r="H41" s="1" t="s">
        <v>14</v>
      </c>
    </row>
    <row r="42" spans="1:8" x14ac:dyDescent="0.3">
      <c r="A42" s="1" t="s">
        <v>67</v>
      </c>
      <c r="B42" s="1" t="s">
        <v>16</v>
      </c>
      <c r="C42" s="1" t="s">
        <v>31</v>
      </c>
      <c r="D42" s="2">
        <v>45141</v>
      </c>
      <c r="E42" s="1" t="s">
        <v>11</v>
      </c>
      <c r="F42" s="1" t="s">
        <v>12</v>
      </c>
      <c r="G42" s="1" t="s">
        <v>13</v>
      </c>
      <c r="H42" s="1" t="s">
        <v>14</v>
      </c>
    </row>
    <row r="43" spans="1:8" x14ac:dyDescent="0.3">
      <c r="A43" s="1" t="s">
        <v>68</v>
      </c>
      <c r="B43" s="1" t="s">
        <v>9</v>
      </c>
      <c r="C43" s="1" t="s">
        <v>10</v>
      </c>
      <c r="D43" s="2">
        <v>45144</v>
      </c>
      <c r="E43" s="1" t="s">
        <v>18</v>
      </c>
      <c r="F43" s="1" t="s">
        <v>24</v>
      </c>
      <c r="G43" s="1" t="s">
        <v>19</v>
      </c>
      <c r="H43" s="1" t="s">
        <v>20</v>
      </c>
    </row>
    <row r="44" spans="1:8" x14ac:dyDescent="0.3">
      <c r="A44" s="1" t="s">
        <v>69</v>
      </c>
      <c r="B44" s="1" t="s">
        <v>16</v>
      </c>
      <c r="C44" s="1" t="s">
        <v>17</v>
      </c>
      <c r="D44" s="2">
        <v>45147</v>
      </c>
      <c r="E44" s="1" t="s">
        <v>23</v>
      </c>
      <c r="F44" s="1" t="s">
        <v>12</v>
      </c>
      <c r="G44" s="1" t="s">
        <v>13</v>
      </c>
      <c r="H44" s="1" t="s">
        <v>14</v>
      </c>
    </row>
    <row r="45" spans="1:8" x14ac:dyDescent="0.3">
      <c r="A45" s="1" t="s">
        <v>70</v>
      </c>
      <c r="B45" s="1" t="s">
        <v>9</v>
      </c>
      <c r="C45" s="1" t="s">
        <v>22</v>
      </c>
      <c r="D45" s="2">
        <v>45150</v>
      </c>
      <c r="E45" s="1" t="s">
        <v>11</v>
      </c>
      <c r="F45" s="1" t="s">
        <v>24</v>
      </c>
      <c r="G45" s="1" t="s">
        <v>19</v>
      </c>
      <c r="H45" s="1" t="s">
        <v>14</v>
      </c>
    </row>
    <row r="46" spans="1:8" x14ac:dyDescent="0.3">
      <c r="A46" s="1" t="s">
        <v>71</v>
      </c>
      <c r="B46" s="1" t="s">
        <v>9</v>
      </c>
      <c r="C46" s="1" t="s">
        <v>26</v>
      </c>
      <c r="D46" s="2">
        <v>45153</v>
      </c>
      <c r="E46" s="1" t="s">
        <v>27</v>
      </c>
      <c r="F46" s="1" t="s">
        <v>24</v>
      </c>
      <c r="G46" s="1" t="s">
        <v>13</v>
      </c>
      <c r="H46" s="1" t="s">
        <v>14</v>
      </c>
    </row>
    <row r="47" spans="1:8" x14ac:dyDescent="0.3">
      <c r="A47" s="1" t="s">
        <v>72</v>
      </c>
      <c r="B47" s="1" t="s">
        <v>16</v>
      </c>
      <c r="C47" s="1" t="s">
        <v>29</v>
      </c>
      <c r="D47" s="2">
        <v>45156</v>
      </c>
      <c r="E47" s="1" t="s">
        <v>11</v>
      </c>
      <c r="F47" s="1" t="s">
        <v>12</v>
      </c>
      <c r="G47" s="1" t="s">
        <v>13</v>
      </c>
      <c r="H47" s="1" t="s">
        <v>14</v>
      </c>
    </row>
    <row r="48" spans="1:8" x14ac:dyDescent="0.3">
      <c r="A48" s="1" t="s">
        <v>73</v>
      </c>
      <c r="B48" s="1" t="s">
        <v>9</v>
      </c>
      <c r="C48" s="1" t="s">
        <v>31</v>
      </c>
      <c r="D48" s="2">
        <v>45159</v>
      </c>
      <c r="E48" s="1" t="s">
        <v>23</v>
      </c>
      <c r="F48" s="1" t="s">
        <v>12</v>
      </c>
      <c r="G48" s="1" t="s">
        <v>19</v>
      </c>
      <c r="H48" s="1" t="s">
        <v>20</v>
      </c>
    </row>
    <row r="49" spans="1:8" x14ac:dyDescent="0.3">
      <c r="A49" s="1" t="s">
        <v>74</v>
      </c>
      <c r="B49" s="1" t="s">
        <v>9</v>
      </c>
      <c r="C49" s="1" t="s">
        <v>10</v>
      </c>
      <c r="D49" s="2">
        <v>45162</v>
      </c>
      <c r="E49" s="1" t="s">
        <v>27</v>
      </c>
      <c r="F49" s="1" t="s">
        <v>24</v>
      </c>
      <c r="G49" s="1" t="s">
        <v>19</v>
      </c>
      <c r="H49" s="1" t="s">
        <v>14</v>
      </c>
    </row>
    <row r="50" spans="1:8" x14ac:dyDescent="0.3">
      <c r="A50" s="1" t="s">
        <v>75</v>
      </c>
      <c r="B50" s="1" t="s">
        <v>16</v>
      </c>
      <c r="C50" s="1" t="s">
        <v>17</v>
      </c>
      <c r="D50" s="2">
        <v>45165</v>
      </c>
      <c r="E50" s="1" t="s">
        <v>11</v>
      </c>
      <c r="F50" s="1" t="s">
        <v>12</v>
      </c>
      <c r="G50" s="1" t="s">
        <v>13</v>
      </c>
      <c r="H50" s="1" t="s">
        <v>14</v>
      </c>
    </row>
    <row r="51" spans="1:8" x14ac:dyDescent="0.3">
      <c r="A51" s="1" t="s">
        <v>76</v>
      </c>
      <c r="B51" s="1" t="s">
        <v>9</v>
      </c>
      <c r="C51" s="1" t="s">
        <v>22</v>
      </c>
      <c r="D51" s="2">
        <v>45168</v>
      </c>
      <c r="E51" s="1" t="s">
        <v>18</v>
      </c>
      <c r="F51" s="1" t="s">
        <v>12</v>
      </c>
      <c r="G51" s="1" t="s">
        <v>35</v>
      </c>
      <c r="H51" s="1" t="s">
        <v>20</v>
      </c>
    </row>
    <row r="52" spans="1:8" x14ac:dyDescent="0.3">
      <c r="A52" s="1" t="s">
        <v>77</v>
      </c>
      <c r="B52" s="1" t="s">
        <v>16</v>
      </c>
      <c r="C52" s="1" t="s">
        <v>26</v>
      </c>
      <c r="D52" s="2">
        <v>45140</v>
      </c>
      <c r="E52" s="1" t="s">
        <v>11</v>
      </c>
      <c r="F52" s="1" t="s">
        <v>24</v>
      </c>
      <c r="G52" s="1" t="s">
        <v>19</v>
      </c>
      <c r="H52" s="1" t="s">
        <v>14</v>
      </c>
    </row>
    <row r="53" spans="1:8" x14ac:dyDescent="0.3">
      <c r="A53" s="1" t="s">
        <v>78</v>
      </c>
      <c r="B53" s="1" t="s">
        <v>9</v>
      </c>
      <c r="C53" s="1" t="s">
        <v>29</v>
      </c>
      <c r="D53" s="2">
        <v>45143</v>
      </c>
      <c r="E53" s="1" t="s">
        <v>23</v>
      </c>
      <c r="F53" s="1" t="s">
        <v>12</v>
      </c>
      <c r="G53" s="1" t="s">
        <v>19</v>
      </c>
      <c r="H53" s="1" t="s">
        <v>14</v>
      </c>
    </row>
    <row r="54" spans="1:8" x14ac:dyDescent="0.3">
      <c r="A54" s="1" t="s">
        <v>79</v>
      </c>
      <c r="B54" s="1" t="s">
        <v>16</v>
      </c>
      <c r="C54" s="1" t="s">
        <v>31</v>
      </c>
      <c r="D54" s="2">
        <v>45146</v>
      </c>
      <c r="E54" s="1" t="s">
        <v>11</v>
      </c>
      <c r="F54" s="1" t="s">
        <v>12</v>
      </c>
      <c r="G54" s="1" t="s">
        <v>13</v>
      </c>
      <c r="H54" s="1" t="s">
        <v>14</v>
      </c>
    </row>
    <row r="55" spans="1:8" x14ac:dyDescent="0.3">
      <c r="A55" s="1" t="s">
        <v>80</v>
      </c>
      <c r="B55" s="1" t="s">
        <v>9</v>
      </c>
      <c r="C55" s="1" t="s">
        <v>10</v>
      </c>
      <c r="D55" s="2">
        <v>45149</v>
      </c>
      <c r="E55" s="1" t="s">
        <v>27</v>
      </c>
      <c r="F55" s="1" t="s">
        <v>24</v>
      </c>
      <c r="G55" s="1" t="s">
        <v>19</v>
      </c>
      <c r="H55" s="1" t="s">
        <v>14</v>
      </c>
    </row>
    <row r="56" spans="1:8" x14ac:dyDescent="0.3">
      <c r="A56" s="1" t="s">
        <v>81</v>
      </c>
      <c r="B56" s="1" t="s">
        <v>16</v>
      </c>
      <c r="C56" s="1" t="s">
        <v>26</v>
      </c>
      <c r="D56" s="2">
        <v>45152</v>
      </c>
      <c r="E56" s="1" t="s">
        <v>11</v>
      </c>
      <c r="F56" s="1" t="s">
        <v>12</v>
      </c>
      <c r="G56" s="1" t="s">
        <v>13</v>
      </c>
      <c r="H56" s="1" t="s">
        <v>14</v>
      </c>
    </row>
    <row r="57" spans="1:8" x14ac:dyDescent="0.3">
      <c r="A57" s="1" t="s">
        <v>82</v>
      </c>
      <c r="B57" s="1" t="s">
        <v>9</v>
      </c>
      <c r="C57" s="1" t="s">
        <v>29</v>
      </c>
      <c r="D57" s="2">
        <v>45155</v>
      </c>
      <c r="E57" s="1" t="s">
        <v>23</v>
      </c>
      <c r="F57" s="1" t="s">
        <v>24</v>
      </c>
      <c r="G57" s="1" t="s">
        <v>13</v>
      </c>
      <c r="H57" s="1" t="s">
        <v>20</v>
      </c>
    </row>
    <row r="58" spans="1:8" x14ac:dyDescent="0.3">
      <c r="A58" s="1" t="s">
        <v>83</v>
      </c>
      <c r="B58" s="1" t="s">
        <v>16</v>
      </c>
      <c r="C58" s="1" t="s">
        <v>31</v>
      </c>
      <c r="D58" s="2">
        <v>45158</v>
      </c>
      <c r="E58" s="1" t="s">
        <v>18</v>
      </c>
      <c r="F58" s="1" t="s">
        <v>12</v>
      </c>
      <c r="G58" s="1" t="s">
        <v>35</v>
      </c>
      <c r="H58" s="1" t="s">
        <v>20</v>
      </c>
    </row>
    <row r="59" spans="1:8" x14ac:dyDescent="0.3">
      <c r="A59" s="1" t="s">
        <v>84</v>
      </c>
      <c r="B59" s="1" t="s">
        <v>9</v>
      </c>
      <c r="C59" s="1" t="s">
        <v>17</v>
      </c>
      <c r="D59" s="2">
        <v>45161</v>
      </c>
      <c r="E59" s="1" t="s">
        <v>11</v>
      </c>
      <c r="F59" s="1" t="s">
        <v>24</v>
      </c>
      <c r="G59" s="1" t="s">
        <v>19</v>
      </c>
      <c r="H59" s="1" t="s">
        <v>14</v>
      </c>
    </row>
    <row r="60" spans="1:8" x14ac:dyDescent="0.3">
      <c r="A60" s="1" t="s">
        <v>85</v>
      </c>
      <c r="B60" s="1" t="s">
        <v>9</v>
      </c>
      <c r="C60" s="1" t="s">
        <v>22</v>
      </c>
      <c r="D60" s="2">
        <v>45164</v>
      </c>
      <c r="E60" s="1" t="s">
        <v>23</v>
      </c>
      <c r="F60" s="1" t="s">
        <v>12</v>
      </c>
      <c r="G60" s="1" t="s">
        <v>19</v>
      </c>
      <c r="H60" s="1" t="s">
        <v>14</v>
      </c>
    </row>
    <row r="61" spans="1:8" x14ac:dyDescent="0.3">
      <c r="A61" s="1" t="s">
        <v>86</v>
      </c>
      <c r="B61" s="1" t="s">
        <v>16</v>
      </c>
      <c r="C61" s="1" t="s">
        <v>26</v>
      </c>
      <c r="D61" s="2">
        <v>45167</v>
      </c>
      <c r="E61" s="1" t="s">
        <v>11</v>
      </c>
      <c r="F61" s="1" t="s">
        <v>12</v>
      </c>
      <c r="G61" s="1" t="s">
        <v>13</v>
      </c>
      <c r="H61" s="1" t="s">
        <v>14</v>
      </c>
    </row>
    <row r="62" spans="1:8" x14ac:dyDescent="0.3">
      <c r="A62" s="1" t="s">
        <v>87</v>
      </c>
      <c r="B62" s="1" t="s">
        <v>9</v>
      </c>
      <c r="C62" s="1" t="s">
        <v>31</v>
      </c>
      <c r="D62" s="2">
        <v>45142</v>
      </c>
      <c r="E62" s="1" t="s">
        <v>18</v>
      </c>
      <c r="F62" s="1" t="s">
        <v>24</v>
      </c>
      <c r="G62" s="1" t="s">
        <v>19</v>
      </c>
      <c r="H62" s="1" t="s">
        <v>20</v>
      </c>
    </row>
    <row r="63" spans="1:8" x14ac:dyDescent="0.3">
      <c r="A63" s="1" t="s">
        <v>88</v>
      </c>
      <c r="B63" s="1" t="s">
        <v>9</v>
      </c>
      <c r="C63" s="1" t="s">
        <v>10</v>
      </c>
      <c r="D63" s="2">
        <v>45145</v>
      </c>
      <c r="E63" s="1" t="s">
        <v>27</v>
      </c>
      <c r="F63" s="1" t="s">
        <v>24</v>
      </c>
      <c r="G63" s="1" t="s">
        <v>19</v>
      </c>
      <c r="H63" s="1" t="s">
        <v>14</v>
      </c>
    </row>
    <row r="64" spans="1:8" x14ac:dyDescent="0.3">
      <c r="A64" s="1" t="s">
        <v>89</v>
      </c>
      <c r="B64" s="1" t="s">
        <v>16</v>
      </c>
      <c r="C64" s="1" t="s">
        <v>17</v>
      </c>
      <c r="D64" s="2">
        <v>45148</v>
      </c>
      <c r="E64" s="1" t="s">
        <v>11</v>
      </c>
      <c r="F64" s="1" t="s">
        <v>12</v>
      </c>
      <c r="G64" s="1" t="s">
        <v>13</v>
      </c>
      <c r="H64" s="1" t="s">
        <v>14</v>
      </c>
    </row>
    <row r="65" spans="1:8" x14ac:dyDescent="0.3">
      <c r="A65" s="1" t="s">
        <v>90</v>
      </c>
      <c r="B65" s="1" t="s">
        <v>9</v>
      </c>
      <c r="C65" s="1" t="s">
        <v>22</v>
      </c>
      <c r="D65" s="2">
        <v>45151</v>
      </c>
      <c r="E65" s="1" t="s">
        <v>18</v>
      </c>
      <c r="F65" s="1" t="s">
        <v>12</v>
      </c>
      <c r="G65" s="1" t="s">
        <v>35</v>
      </c>
      <c r="H65" s="1" t="s">
        <v>20</v>
      </c>
    </row>
    <row r="66" spans="1:8" x14ac:dyDescent="0.3">
      <c r="A66" s="1" t="s">
        <v>91</v>
      </c>
      <c r="B66" s="1" t="s">
        <v>16</v>
      </c>
      <c r="C66" s="1" t="s">
        <v>26</v>
      </c>
      <c r="D66" s="2">
        <v>45154</v>
      </c>
      <c r="E66" s="1" t="s">
        <v>11</v>
      </c>
      <c r="F66" s="1" t="s">
        <v>24</v>
      </c>
      <c r="G66" s="1" t="s">
        <v>19</v>
      </c>
      <c r="H66" s="1" t="s">
        <v>14</v>
      </c>
    </row>
    <row r="67" spans="1:8" x14ac:dyDescent="0.3">
      <c r="A67" s="1" t="s">
        <v>92</v>
      </c>
      <c r="B67" s="1" t="s">
        <v>9</v>
      </c>
      <c r="C67" s="1" t="s">
        <v>29</v>
      </c>
      <c r="D67" s="2">
        <v>45157</v>
      </c>
      <c r="E67" s="1" t="s">
        <v>23</v>
      </c>
      <c r="F67" s="1" t="s">
        <v>12</v>
      </c>
      <c r="G67" s="1" t="s">
        <v>19</v>
      </c>
      <c r="H67" s="1" t="s">
        <v>14</v>
      </c>
    </row>
    <row r="68" spans="1:8" x14ac:dyDescent="0.3">
      <c r="A68" s="1" t="s">
        <v>93</v>
      </c>
      <c r="B68" s="1" t="s">
        <v>16</v>
      </c>
      <c r="C68" s="1" t="s">
        <v>31</v>
      </c>
      <c r="D68" s="2">
        <v>45160</v>
      </c>
      <c r="E68" s="1" t="s">
        <v>11</v>
      </c>
      <c r="F68" s="1" t="s">
        <v>12</v>
      </c>
      <c r="G68" s="1" t="s">
        <v>13</v>
      </c>
      <c r="H68" s="1" t="s">
        <v>14</v>
      </c>
    </row>
    <row r="69" spans="1:8" x14ac:dyDescent="0.3">
      <c r="A69" s="1" t="s">
        <v>94</v>
      </c>
      <c r="B69" s="1" t="s">
        <v>9</v>
      </c>
      <c r="C69" s="1" t="s">
        <v>10</v>
      </c>
      <c r="D69" s="2">
        <v>45163</v>
      </c>
      <c r="E69" s="1" t="s">
        <v>27</v>
      </c>
      <c r="F69" s="1" t="s">
        <v>24</v>
      </c>
      <c r="G69" s="1" t="s">
        <v>19</v>
      </c>
      <c r="H69" s="1" t="s">
        <v>14</v>
      </c>
    </row>
    <row r="70" spans="1:8" x14ac:dyDescent="0.3">
      <c r="A70" s="1" t="s">
        <v>95</v>
      </c>
      <c r="B70" s="1" t="s">
        <v>16</v>
      </c>
      <c r="C70" s="1" t="s">
        <v>26</v>
      </c>
      <c r="D70" s="2">
        <v>45166</v>
      </c>
      <c r="E70" s="1" t="s">
        <v>11</v>
      </c>
      <c r="F70" s="1" t="s">
        <v>12</v>
      </c>
      <c r="G70" s="1" t="s">
        <v>13</v>
      </c>
      <c r="H70" s="1" t="s">
        <v>14</v>
      </c>
    </row>
    <row r="71" spans="1:8" x14ac:dyDescent="0.3">
      <c r="A71" s="1" t="s">
        <v>96</v>
      </c>
      <c r="B71" s="1" t="s">
        <v>9</v>
      </c>
      <c r="C71" s="1" t="s">
        <v>29</v>
      </c>
      <c r="D71" s="2">
        <v>45139</v>
      </c>
      <c r="E71" s="1" t="s">
        <v>23</v>
      </c>
      <c r="F71" s="1" t="s">
        <v>24</v>
      </c>
      <c r="G71" s="1" t="s">
        <v>13</v>
      </c>
      <c r="H71" s="1" t="s">
        <v>20</v>
      </c>
    </row>
    <row r="72" spans="1:8" x14ac:dyDescent="0.3">
      <c r="A72" s="1" t="s">
        <v>97</v>
      </c>
      <c r="B72" s="1" t="s">
        <v>16</v>
      </c>
      <c r="C72" s="1" t="s">
        <v>31</v>
      </c>
      <c r="D72" s="2">
        <v>45141</v>
      </c>
      <c r="E72" s="1" t="s">
        <v>11</v>
      </c>
      <c r="F72" s="1" t="s">
        <v>12</v>
      </c>
      <c r="G72" s="1" t="s">
        <v>13</v>
      </c>
      <c r="H72" s="1" t="s">
        <v>14</v>
      </c>
    </row>
    <row r="73" spans="1:8" x14ac:dyDescent="0.3">
      <c r="A73" s="1" t="s">
        <v>98</v>
      </c>
      <c r="B73" s="1" t="s">
        <v>9</v>
      </c>
      <c r="C73" s="1" t="s">
        <v>10</v>
      </c>
      <c r="D73" s="2">
        <v>45144</v>
      </c>
      <c r="E73" s="1" t="s">
        <v>18</v>
      </c>
      <c r="F73" s="1" t="s">
        <v>24</v>
      </c>
      <c r="G73" s="1" t="s">
        <v>19</v>
      </c>
      <c r="H73" s="1" t="s">
        <v>20</v>
      </c>
    </row>
    <row r="74" spans="1:8" x14ac:dyDescent="0.3">
      <c r="A74" s="1" t="s">
        <v>99</v>
      </c>
      <c r="B74" s="1" t="s">
        <v>16</v>
      </c>
      <c r="C74" s="1" t="s">
        <v>17</v>
      </c>
      <c r="D74" s="2">
        <v>45147</v>
      </c>
      <c r="E74" s="1" t="s">
        <v>23</v>
      </c>
      <c r="F74" s="1" t="s">
        <v>12</v>
      </c>
      <c r="G74" s="1" t="s">
        <v>13</v>
      </c>
      <c r="H74" s="1" t="s">
        <v>14</v>
      </c>
    </row>
    <row r="75" spans="1:8" x14ac:dyDescent="0.3">
      <c r="A75" s="1" t="s">
        <v>100</v>
      </c>
      <c r="B75" s="1" t="s">
        <v>9</v>
      </c>
      <c r="C75" s="1" t="s">
        <v>22</v>
      </c>
      <c r="D75" s="2">
        <v>45150</v>
      </c>
      <c r="E75" s="1" t="s">
        <v>11</v>
      </c>
      <c r="F75" s="1" t="s">
        <v>24</v>
      </c>
      <c r="G75" s="1" t="s">
        <v>19</v>
      </c>
      <c r="H75" s="1" t="s">
        <v>14</v>
      </c>
    </row>
    <row r="76" spans="1:8" x14ac:dyDescent="0.3">
      <c r="A76" s="1" t="s">
        <v>101</v>
      </c>
      <c r="B76" s="1" t="s">
        <v>9</v>
      </c>
      <c r="C76" s="1" t="s">
        <v>26</v>
      </c>
      <c r="D76" s="2">
        <v>45153</v>
      </c>
      <c r="E76" s="1" t="s">
        <v>27</v>
      </c>
      <c r="F76" s="1" t="s">
        <v>24</v>
      </c>
      <c r="G76" s="1" t="s">
        <v>13</v>
      </c>
      <c r="H76" s="1" t="s">
        <v>14</v>
      </c>
    </row>
    <row r="77" spans="1:8" x14ac:dyDescent="0.3">
      <c r="A77" s="1" t="s">
        <v>102</v>
      </c>
      <c r="B77" s="1" t="s">
        <v>16</v>
      </c>
      <c r="C77" s="1" t="s">
        <v>29</v>
      </c>
      <c r="D77" s="2">
        <v>45156</v>
      </c>
      <c r="E77" s="1" t="s">
        <v>11</v>
      </c>
      <c r="F77" s="1" t="s">
        <v>12</v>
      </c>
      <c r="G77" s="1" t="s">
        <v>13</v>
      </c>
      <c r="H77" s="1" t="s">
        <v>14</v>
      </c>
    </row>
    <row r="78" spans="1:8" x14ac:dyDescent="0.3">
      <c r="A78" s="1" t="s">
        <v>103</v>
      </c>
      <c r="B78" s="1" t="s">
        <v>9</v>
      </c>
      <c r="C78" s="1" t="s">
        <v>31</v>
      </c>
      <c r="D78" s="2">
        <v>45159</v>
      </c>
      <c r="E78" s="1" t="s">
        <v>23</v>
      </c>
      <c r="F78" s="1" t="s">
        <v>12</v>
      </c>
      <c r="G78" s="1" t="s">
        <v>19</v>
      </c>
      <c r="H78" s="1" t="s">
        <v>20</v>
      </c>
    </row>
    <row r="79" spans="1:8" x14ac:dyDescent="0.3">
      <c r="A79" s="1" t="s">
        <v>104</v>
      </c>
      <c r="B79" s="1" t="s">
        <v>9</v>
      </c>
      <c r="C79" s="1" t="s">
        <v>10</v>
      </c>
      <c r="D79" s="2">
        <v>45162</v>
      </c>
      <c r="E79" s="1" t="s">
        <v>27</v>
      </c>
      <c r="F79" s="1" t="s">
        <v>24</v>
      </c>
      <c r="G79" s="1" t="s">
        <v>19</v>
      </c>
      <c r="H79" s="1" t="s">
        <v>14</v>
      </c>
    </row>
    <row r="80" spans="1:8" x14ac:dyDescent="0.3">
      <c r="A80" s="1" t="s">
        <v>105</v>
      </c>
      <c r="B80" s="1" t="s">
        <v>16</v>
      </c>
      <c r="C80" s="1" t="s">
        <v>17</v>
      </c>
      <c r="D80" s="2">
        <v>45165</v>
      </c>
      <c r="E80" s="1" t="s">
        <v>11</v>
      </c>
      <c r="F80" s="1" t="s">
        <v>12</v>
      </c>
      <c r="G80" s="1" t="s">
        <v>13</v>
      </c>
      <c r="H80" s="1" t="s">
        <v>14</v>
      </c>
    </row>
    <row r="81" spans="1:8" x14ac:dyDescent="0.3">
      <c r="A81" s="1" t="s">
        <v>106</v>
      </c>
      <c r="B81" s="1" t="s">
        <v>9</v>
      </c>
      <c r="C81" s="1" t="s">
        <v>22</v>
      </c>
      <c r="D81" s="2">
        <v>45168</v>
      </c>
      <c r="E81" s="1" t="s">
        <v>18</v>
      </c>
      <c r="F81" s="1" t="s">
        <v>12</v>
      </c>
      <c r="G81" s="1" t="s">
        <v>35</v>
      </c>
      <c r="H81" s="1" t="s">
        <v>20</v>
      </c>
    </row>
    <row r="82" spans="1:8" x14ac:dyDescent="0.3">
      <c r="A82" s="1" t="s">
        <v>107</v>
      </c>
      <c r="B82" s="1" t="s">
        <v>16</v>
      </c>
      <c r="C82" s="1" t="s">
        <v>26</v>
      </c>
      <c r="D82" s="2">
        <v>45140</v>
      </c>
      <c r="E82" s="1" t="s">
        <v>11</v>
      </c>
      <c r="F82" s="1" t="s">
        <v>24</v>
      </c>
      <c r="G82" s="1" t="s">
        <v>19</v>
      </c>
      <c r="H82" s="1" t="s">
        <v>14</v>
      </c>
    </row>
    <row r="83" spans="1:8" x14ac:dyDescent="0.3">
      <c r="A83" s="1" t="s">
        <v>108</v>
      </c>
      <c r="B83" s="1" t="s">
        <v>9</v>
      </c>
      <c r="C83" s="1" t="s">
        <v>29</v>
      </c>
      <c r="D83" s="2">
        <v>45143</v>
      </c>
      <c r="E83" s="1" t="s">
        <v>23</v>
      </c>
      <c r="F83" s="1" t="s">
        <v>12</v>
      </c>
      <c r="G83" s="1" t="s">
        <v>19</v>
      </c>
      <c r="H83" s="1" t="s">
        <v>14</v>
      </c>
    </row>
    <row r="84" spans="1:8" x14ac:dyDescent="0.3">
      <c r="A84" s="1" t="s">
        <v>109</v>
      </c>
      <c r="B84" s="1" t="s">
        <v>16</v>
      </c>
      <c r="C84" s="1" t="s">
        <v>31</v>
      </c>
      <c r="D84" s="2">
        <v>45146</v>
      </c>
      <c r="E84" s="1" t="s">
        <v>11</v>
      </c>
      <c r="F84" s="1" t="s">
        <v>12</v>
      </c>
      <c r="G84" s="1" t="s">
        <v>13</v>
      </c>
      <c r="H84" s="1" t="s">
        <v>14</v>
      </c>
    </row>
    <row r="85" spans="1:8" x14ac:dyDescent="0.3">
      <c r="A85" s="1" t="s">
        <v>110</v>
      </c>
      <c r="B85" s="1" t="s">
        <v>9</v>
      </c>
      <c r="C85" s="1" t="s">
        <v>10</v>
      </c>
      <c r="D85" s="2">
        <v>45149</v>
      </c>
      <c r="E85" s="1" t="s">
        <v>27</v>
      </c>
      <c r="F85" s="1" t="s">
        <v>24</v>
      </c>
      <c r="G85" s="1" t="s">
        <v>19</v>
      </c>
      <c r="H85" s="1" t="s">
        <v>14</v>
      </c>
    </row>
    <row r="86" spans="1:8" x14ac:dyDescent="0.3">
      <c r="A86" s="1" t="s">
        <v>111</v>
      </c>
      <c r="B86" s="1" t="s">
        <v>16</v>
      </c>
      <c r="C86" s="1" t="s">
        <v>26</v>
      </c>
      <c r="D86" s="2">
        <v>45152</v>
      </c>
      <c r="E86" s="1" t="s">
        <v>11</v>
      </c>
      <c r="F86" s="1" t="s">
        <v>12</v>
      </c>
      <c r="G86" s="1" t="s">
        <v>13</v>
      </c>
      <c r="H86" s="1" t="s">
        <v>14</v>
      </c>
    </row>
    <row r="87" spans="1:8" x14ac:dyDescent="0.3">
      <c r="A87" s="1" t="s">
        <v>112</v>
      </c>
      <c r="B87" s="1" t="s">
        <v>9</v>
      </c>
      <c r="C87" s="1" t="s">
        <v>29</v>
      </c>
      <c r="D87" s="2">
        <v>45155</v>
      </c>
      <c r="E87" s="1" t="s">
        <v>23</v>
      </c>
      <c r="F87" s="1" t="s">
        <v>24</v>
      </c>
      <c r="G87" s="1" t="s">
        <v>13</v>
      </c>
      <c r="H87" s="1" t="s">
        <v>20</v>
      </c>
    </row>
    <row r="88" spans="1:8" x14ac:dyDescent="0.3">
      <c r="A88" s="1" t="s">
        <v>113</v>
      </c>
      <c r="B88" s="1" t="s">
        <v>16</v>
      </c>
      <c r="C88" s="1" t="s">
        <v>31</v>
      </c>
      <c r="D88" s="2">
        <v>45158</v>
      </c>
      <c r="E88" s="1" t="s">
        <v>18</v>
      </c>
      <c r="F88" s="1" t="s">
        <v>12</v>
      </c>
      <c r="G88" s="1" t="s">
        <v>35</v>
      </c>
      <c r="H88" s="1" t="s">
        <v>20</v>
      </c>
    </row>
    <row r="89" spans="1:8" x14ac:dyDescent="0.3">
      <c r="A89" s="1" t="s">
        <v>114</v>
      </c>
      <c r="B89" s="1" t="s">
        <v>9</v>
      </c>
      <c r="C89" s="1" t="s">
        <v>17</v>
      </c>
      <c r="D89" s="2">
        <v>45161</v>
      </c>
      <c r="E89" s="1" t="s">
        <v>11</v>
      </c>
      <c r="F89" s="1" t="s">
        <v>24</v>
      </c>
      <c r="G89" s="1" t="s">
        <v>19</v>
      </c>
      <c r="H89" s="1" t="s">
        <v>14</v>
      </c>
    </row>
    <row r="90" spans="1:8" x14ac:dyDescent="0.3">
      <c r="A90" s="1" t="s">
        <v>115</v>
      </c>
      <c r="B90" s="1" t="s">
        <v>9</v>
      </c>
      <c r="C90" s="1" t="s">
        <v>22</v>
      </c>
      <c r="D90" s="2">
        <v>45164</v>
      </c>
      <c r="E90" s="1" t="s">
        <v>23</v>
      </c>
      <c r="F90" s="1" t="s">
        <v>12</v>
      </c>
      <c r="G90" s="1" t="s">
        <v>19</v>
      </c>
      <c r="H90" s="1" t="s">
        <v>14</v>
      </c>
    </row>
    <row r="91" spans="1:8" x14ac:dyDescent="0.3">
      <c r="A91" s="1" t="s">
        <v>116</v>
      </c>
      <c r="B91" s="1" t="s">
        <v>16</v>
      </c>
      <c r="C91" s="1" t="s">
        <v>26</v>
      </c>
      <c r="D91" s="2">
        <v>45167</v>
      </c>
      <c r="E91" s="1" t="s">
        <v>11</v>
      </c>
      <c r="F91" s="1" t="s">
        <v>12</v>
      </c>
      <c r="G91" s="1" t="s">
        <v>13</v>
      </c>
      <c r="H91" s="1" t="s">
        <v>14</v>
      </c>
    </row>
    <row r="92" spans="1:8" x14ac:dyDescent="0.3">
      <c r="A92" s="1" t="s">
        <v>117</v>
      </c>
      <c r="B92" s="1" t="s">
        <v>9</v>
      </c>
      <c r="C92" s="1" t="s">
        <v>31</v>
      </c>
      <c r="D92" s="2">
        <v>45142</v>
      </c>
      <c r="E92" s="1" t="s">
        <v>18</v>
      </c>
      <c r="F92" s="1" t="s">
        <v>24</v>
      </c>
      <c r="G92" s="1" t="s">
        <v>19</v>
      </c>
      <c r="H92" s="1" t="s">
        <v>20</v>
      </c>
    </row>
    <row r="93" spans="1:8" x14ac:dyDescent="0.3">
      <c r="A93" s="1" t="s">
        <v>118</v>
      </c>
      <c r="B93" s="1" t="s">
        <v>9</v>
      </c>
      <c r="C93" s="1" t="s">
        <v>10</v>
      </c>
      <c r="D93" s="2">
        <v>45145</v>
      </c>
      <c r="E93" s="1" t="s">
        <v>27</v>
      </c>
      <c r="F93" s="1" t="s">
        <v>24</v>
      </c>
      <c r="G93" s="1" t="s">
        <v>19</v>
      </c>
      <c r="H93" s="1" t="s">
        <v>14</v>
      </c>
    </row>
    <row r="94" spans="1:8" x14ac:dyDescent="0.3">
      <c r="A94" s="1" t="s">
        <v>119</v>
      </c>
      <c r="B94" s="1" t="s">
        <v>16</v>
      </c>
      <c r="C94" s="1" t="s">
        <v>17</v>
      </c>
      <c r="D94" s="2">
        <v>45148</v>
      </c>
      <c r="E94" s="1" t="s">
        <v>11</v>
      </c>
      <c r="F94" s="1" t="s">
        <v>12</v>
      </c>
      <c r="G94" s="1" t="s">
        <v>13</v>
      </c>
      <c r="H94" s="1" t="s">
        <v>14</v>
      </c>
    </row>
    <row r="95" spans="1:8" x14ac:dyDescent="0.3">
      <c r="A95" s="1" t="s">
        <v>120</v>
      </c>
      <c r="B95" s="1" t="s">
        <v>9</v>
      </c>
      <c r="C95" s="1" t="s">
        <v>22</v>
      </c>
      <c r="D95" s="2">
        <v>45151</v>
      </c>
      <c r="E95" s="1" t="s">
        <v>18</v>
      </c>
      <c r="F95" s="1" t="s">
        <v>12</v>
      </c>
      <c r="G95" s="1" t="s">
        <v>35</v>
      </c>
      <c r="H95" s="1" t="s">
        <v>20</v>
      </c>
    </row>
    <row r="96" spans="1:8" x14ac:dyDescent="0.3">
      <c r="A96" s="1" t="s">
        <v>121</v>
      </c>
      <c r="B96" s="1" t="s">
        <v>16</v>
      </c>
      <c r="C96" s="1" t="s">
        <v>26</v>
      </c>
      <c r="D96" s="2">
        <v>45154</v>
      </c>
      <c r="E96" s="1" t="s">
        <v>11</v>
      </c>
      <c r="F96" s="1" t="s">
        <v>24</v>
      </c>
      <c r="G96" s="1" t="s">
        <v>19</v>
      </c>
      <c r="H96" s="1" t="s">
        <v>14</v>
      </c>
    </row>
    <row r="97" spans="1:8" x14ac:dyDescent="0.3">
      <c r="A97" s="1" t="s">
        <v>122</v>
      </c>
      <c r="B97" s="1" t="s">
        <v>9</v>
      </c>
      <c r="C97" s="1" t="s">
        <v>29</v>
      </c>
      <c r="D97" s="2">
        <v>45157</v>
      </c>
      <c r="E97" s="1" t="s">
        <v>23</v>
      </c>
      <c r="F97" s="1" t="s">
        <v>12</v>
      </c>
      <c r="G97" s="1" t="s">
        <v>19</v>
      </c>
      <c r="H97" s="1" t="s">
        <v>14</v>
      </c>
    </row>
    <row r="98" spans="1:8" x14ac:dyDescent="0.3">
      <c r="A98" s="1" t="s">
        <v>123</v>
      </c>
      <c r="B98" s="1" t="s">
        <v>16</v>
      </c>
      <c r="C98" s="1" t="s">
        <v>31</v>
      </c>
      <c r="D98" s="2">
        <v>45160</v>
      </c>
      <c r="E98" s="1" t="s">
        <v>11</v>
      </c>
      <c r="F98" s="1" t="s">
        <v>12</v>
      </c>
      <c r="G98" s="1" t="s">
        <v>13</v>
      </c>
      <c r="H98" s="1" t="s">
        <v>14</v>
      </c>
    </row>
    <row r="99" spans="1:8" x14ac:dyDescent="0.3">
      <c r="A99" s="1" t="s">
        <v>124</v>
      </c>
      <c r="B99" s="1" t="s">
        <v>9</v>
      </c>
      <c r="C99" s="1" t="s">
        <v>10</v>
      </c>
      <c r="D99" s="2">
        <v>45163</v>
      </c>
      <c r="E99" s="1" t="s">
        <v>27</v>
      </c>
      <c r="F99" s="1" t="s">
        <v>24</v>
      </c>
      <c r="G99" s="1" t="s">
        <v>19</v>
      </c>
      <c r="H99" s="1" t="s">
        <v>14</v>
      </c>
    </row>
    <row r="100" spans="1:8" x14ac:dyDescent="0.3">
      <c r="A100" s="1" t="s">
        <v>125</v>
      </c>
      <c r="B100" s="1" t="s">
        <v>16</v>
      </c>
      <c r="C100" s="1" t="s">
        <v>26</v>
      </c>
      <c r="D100" s="2">
        <v>45166</v>
      </c>
      <c r="E100" s="1" t="s">
        <v>11</v>
      </c>
      <c r="F100" s="1" t="s">
        <v>12</v>
      </c>
      <c r="G100" s="1" t="s">
        <v>13</v>
      </c>
      <c r="H100" s="1" t="s">
        <v>14</v>
      </c>
    </row>
    <row r="101" spans="1:8" x14ac:dyDescent="0.3">
      <c r="A101" s="1" t="s">
        <v>126</v>
      </c>
      <c r="B101" s="1" t="s">
        <v>9</v>
      </c>
      <c r="C101" s="1" t="s">
        <v>29</v>
      </c>
      <c r="D101" s="2">
        <v>45139</v>
      </c>
      <c r="E101" s="1" t="s">
        <v>23</v>
      </c>
      <c r="F101" s="1" t="s">
        <v>24</v>
      </c>
      <c r="G101" s="1" t="s">
        <v>13</v>
      </c>
      <c r="H101" s="1" t="s">
        <v>20</v>
      </c>
    </row>
    <row r="102" spans="1:8" x14ac:dyDescent="0.3">
      <c r="A102" s="1" t="s">
        <v>127</v>
      </c>
      <c r="B102" s="1" t="s">
        <v>16</v>
      </c>
      <c r="C102" s="1" t="s">
        <v>31</v>
      </c>
      <c r="D102" s="2">
        <v>45141</v>
      </c>
      <c r="E102" s="1" t="s">
        <v>11</v>
      </c>
      <c r="F102" s="1" t="s">
        <v>12</v>
      </c>
      <c r="G102" s="1" t="s">
        <v>13</v>
      </c>
      <c r="H102" s="1" t="s">
        <v>14</v>
      </c>
    </row>
    <row r="103" spans="1:8" x14ac:dyDescent="0.3">
      <c r="A103" s="1" t="s">
        <v>128</v>
      </c>
      <c r="B103" s="1" t="s">
        <v>9</v>
      </c>
      <c r="C103" s="1" t="s">
        <v>10</v>
      </c>
      <c r="D103" s="2">
        <v>45144</v>
      </c>
      <c r="E103" s="1" t="s">
        <v>18</v>
      </c>
      <c r="F103" s="1" t="s">
        <v>24</v>
      </c>
      <c r="G103" s="1" t="s">
        <v>19</v>
      </c>
      <c r="H103" s="1" t="s">
        <v>20</v>
      </c>
    </row>
    <row r="104" spans="1:8" x14ac:dyDescent="0.3">
      <c r="A104" s="1" t="s">
        <v>129</v>
      </c>
      <c r="B104" s="1" t="s">
        <v>16</v>
      </c>
      <c r="C104" s="1" t="s">
        <v>17</v>
      </c>
      <c r="D104" s="2">
        <v>45147</v>
      </c>
      <c r="E104" s="1" t="s">
        <v>23</v>
      </c>
      <c r="F104" s="1" t="s">
        <v>12</v>
      </c>
      <c r="G104" s="1" t="s">
        <v>13</v>
      </c>
      <c r="H104" s="1" t="s">
        <v>14</v>
      </c>
    </row>
    <row r="105" spans="1:8" x14ac:dyDescent="0.3">
      <c r="A105" s="1" t="s">
        <v>130</v>
      </c>
      <c r="B105" s="1" t="s">
        <v>9</v>
      </c>
      <c r="C105" s="1" t="s">
        <v>22</v>
      </c>
      <c r="D105" s="2">
        <v>45150</v>
      </c>
      <c r="E105" s="1" t="s">
        <v>11</v>
      </c>
      <c r="F105" s="1" t="s">
        <v>24</v>
      </c>
      <c r="G105" s="1" t="s">
        <v>19</v>
      </c>
      <c r="H105" s="1" t="s">
        <v>14</v>
      </c>
    </row>
    <row r="106" spans="1:8" x14ac:dyDescent="0.3">
      <c r="A106" s="1" t="s">
        <v>131</v>
      </c>
      <c r="B106" s="1" t="s">
        <v>9</v>
      </c>
      <c r="C106" s="1" t="s">
        <v>26</v>
      </c>
      <c r="D106" s="2">
        <v>45153</v>
      </c>
      <c r="E106" s="1" t="s">
        <v>27</v>
      </c>
      <c r="F106" s="1" t="s">
        <v>24</v>
      </c>
      <c r="G106" s="1" t="s">
        <v>13</v>
      </c>
      <c r="H106" s="1" t="s">
        <v>14</v>
      </c>
    </row>
    <row r="107" spans="1:8" x14ac:dyDescent="0.3">
      <c r="A107" s="1" t="s">
        <v>132</v>
      </c>
      <c r="B107" s="1" t="s">
        <v>16</v>
      </c>
      <c r="C107" s="1" t="s">
        <v>29</v>
      </c>
      <c r="D107" s="2">
        <v>45156</v>
      </c>
      <c r="E107" s="1" t="s">
        <v>11</v>
      </c>
      <c r="F107" s="1" t="s">
        <v>12</v>
      </c>
      <c r="G107" s="1" t="s">
        <v>13</v>
      </c>
      <c r="H107" s="1" t="s">
        <v>14</v>
      </c>
    </row>
    <row r="108" spans="1:8" x14ac:dyDescent="0.3">
      <c r="A108" s="1" t="s">
        <v>133</v>
      </c>
      <c r="B108" s="1" t="s">
        <v>9</v>
      </c>
      <c r="C108" s="1" t="s">
        <v>31</v>
      </c>
      <c r="D108" s="2">
        <v>45159</v>
      </c>
      <c r="E108" s="1" t="s">
        <v>23</v>
      </c>
      <c r="F108" s="1" t="s">
        <v>12</v>
      </c>
      <c r="G108" s="1" t="s">
        <v>19</v>
      </c>
      <c r="H108" s="1" t="s">
        <v>20</v>
      </c>
    </row>
    <row r="109" spans="1:8" x14ac:dyDescent="0.3">
      <c r="A109" s="1" t="s">
        <v>134</v>
      </c>
      <c r="B109" s="1" t="s">
        <v>9</v>
      </c>
      <c r="C109" s="1" t="s">
        <v>10</v>
      </c>
      <c r="D109" s="2">
        <v>45162</v>
      </c>
      <c r="E109" s="1" t="s">
        <v>27</v>
      </c>
      <c r="F109" s="1" t="s">
        <v>24</v>
      </c>
      <c r="G109" s="1" t="s">
        <v>19</v>
      </c>
      <c r="H109" s="1" t="s">
        <v>14</v>
      </c>
    </row>
    <row r="110" spans="1:8" x14ac:dyDescent="0.3">
      <c r="A110" s="1" t="s">
        <v>135</v>
      </c>
      <c r="B110" s="1" t="s">
        <v>16</v>
      </c>
      <c r="C110" s="1" t="s">
        <v>17</v>
      </c>
      <c r="D110" s="2">
        <v>45165</v>
      </c>
      <c r="E110" s="1" t="s">
        <v>11</v>
      </c>
      <c r="F110" s="1" t="s">
        <v>12</v>
      </c>
      <c r="G110" s="1" t="s">
        <v>13</v>
      </c>
      <c r="H110" s="1" t="s">
        <v>14</v>
      </c>
    </row>
    <row r="111" spans="1:8" x14ac:dyDescent="0.3">
      <c r="A111" s="1" t="s">
        <v>136</v>
      </c>
      <c r="B111" s="1" t="s">
        <v>9</v>
      </c>
      <c r="C111" s="1" t="s">
        <v>22</v>
      </c>
      <c r="D111" s="2">
        <v>45168</v>
      </c>
      <c r="E111" s="1" t="s">
        <v>18</v>
      </c>
      <c r="F111" s="1" t="s">
        <v>12</v>
      </c>
      <c r="G111" s="1" t="s">
        <v>35</v>
      </c>
      <c r="H111" s="1" t="s">
        <v>20</v>
      </c>
    </row>
    <row r="112" spans="1:8" x14ac:dyDescent="0.3">
      <c r="A112" s="1" t="s">
        <v>137</v>
      </c>
      <c r="B112" s="1" t="s">
        <v>16</v>
      </c>
      <c r="C112" s="1" t="s">
        <v>26</v>
      </c>
      <c r="D112" s="2">
        <v>45140</v>
      </c>
      <c r="E112" s="1" t="s">
        <v>11</v>
      </c>
      <c r="F112" s="1" t="s">
        <v>24</v>
      </c>
      <c r="G112" s="1" t="s">
        <v>19</v>
      </c>
      <c r="H112" s="1" t="s">
        <v>14</v>
      </c>
    </row>
    <row r="113" spans="1:8" x14ac:dyDescent="0.3">
      <c r="A113" s="1" t="s">
        <v>138</v>
      </c>
      <c r="B113" s="1" t="s">
        <v>9</v>
      </c>
      <c r="C113" s="1" t="s">
        <v>29</v>
      </c>
      <c r="D113" s="2">
        <v>45143</v>
      </c>
      <c r="E113" s="1" t="s">
        <v>23</v>
      </c>
      <c r="F113" s="1" t="s">
        <v>12</v>
      </c>
      <c r="G113" s="1" t="s">
        <v>19</v>
      </c>
      <c r="H113" s="1" t="s">
        <v>14</v>
      </c>
    </row>
    <row r="114" spans="1:8" x14ac:dyDescent="0.3">
      <c r="A114" s="1" t="s">
        <v>139</v>
      </c>
      <c r="B114" s="1" t="s">
        <v>16</v>
      </c>
      <c r="C114" s="1" t="s">
        <v>31</v>
      </c>
      <c r="D114" s="2">
        <v>45146</v>
      </c>
      <c r="E114" s="1" t="s">
        <v>11</v>
      </c>
      <c r="F114" s="1" t="s">
        <v>12</v>
      </c>
      <c r="G114" s="1" t="s">
        <v>13</v>
      </c>
      <c r="H114" s="1" t="s">
        <v>14</v>
      </c>
    </row>
    <row r="115" spans="1:8" x14ac:dyDescent="0.3">
      <c r="A115" s="1" t="s">
        <v>140</v>
      </c>
      <c r="B115" s="1" t="s">
        <v>9</v>
      </c>
      <c r="C115" s="1" t="s">
        <v>10</v>
      </c>
      <c r="D115" s="2">
        <v>45149</v>
      </c>
      <c r="E115" s="1" t="s">
        <v>27</v>
      </c>
      <c r="F115" s="1" t="s">
        <v>24</v>
      </c>
      <c r="G115" s="1" t="s">
        <v>19</v>
      </c>
      <c r="H115" s="1" t="s">
        <v>14</v>
      </c>
    </row>
    <row r="116" spans="1:8" x14ac:dyDescent="0.3">
      <c r="A116" s="1" t="s">
        <v>141</v>
      </c>
      <c r="B116" s="1" t="s">
        <v>16</v>
      </c>
      <c r="C116" s="1" t="s">
        <v>26</v>
      </c>
      <c r="D116" s="2">
        <v>45152</v>
      </c>
      <c r="E116" s="1" t="s">
        <v>11</v>
      </c>
      <c r="F116" s="1" t="s">
        <v>12</v>
      </c>
      <c r="G116" s="1" t="s">
        <v>13</v>
      </c>
      <c r="H116" s="1" t="s">
        <v>14</v>
      </c>
    </row>
    <row r="117" spans="1:8" x14ac:dyDescent="0.3">
      <c r="A117" s="1" t="s">
        <v>142</v>
      </c>
      <c r="B117" s="1" t="s">
        <v>9</v>
      </c>
      <c r="C117" s="1" t="s">
        <v>29</v>
      </c>
      <c r="D117" s="2">
        <v>45155</v>
      </c>
      <c r="E117" s="1" t="s">
        <v>23</v>
      </c>
      <c r="F117" s="1" t="s">
        <v>24</v>
      </c>
      <c r="G117" s="1" t="s">
        <v>13</v>
      </c>
      <c r="H117" s="1" t="s">
        <v>20</v>
      </c>
    </row>
    <row r="118" spans="1:8" x14ac:dyDescent="0.3">
      <c r="A118" s="1" t="s">
        <v>143</v>
      </c>
      <c r="B118" s="1" t="s">
        <v>16</v>
      </c>
      <c r="C118" s="1" t="s">
        <v>31</v>
      </c>
      <c r="D118" s="2">
        <v>45158</v>
      </c>
      <c r="E118" s="1" t="s">
        <v>18</v>
      </c>
      <c r="F118" s="1" t="s">
        <v>12</v>
      </c>
      <c r="G118" s="1" t="s">
        <v>35</v>
      </c>
      <c r="H118" s="1" t="s">
        <v>20</v>
      </c>
    </row>
    <row r="119" spans="1:8" x14ac:dyDescent="0.3">
      <c r="A119" s="1" t="s">
        <v>144</v>
      </c>
      <c r="B119" s="1" t="s">
        <v>9</v>
      </c>
      <c r="C119" s="1" t="s">
        <v>17</v>
      </c>
      <c r="D119" s="2">
        <v>45161</v>
      </c>
      <c r="E119" s="1" t="s">
        <v>11</v>
      </c>
      <c r="F119" s="1" t="s">
        <v>24</v>
      </c>
      <c r="G119" s="1" t="s">
        <v>19</v>
      </c>
      <c r="H119" s="1" t="s">
        <v>14</v>
      </c>
    </row>
    <row r="120" spans="1:8" x14ac:dyDescent="0.3">
      <c r="A120" s="1" t="s">
        <v>145</v>
      </c>
      <c r="B120" s="1" t="s">
        <v>9</v>
      </c>
      <c r="C120" s="1" t="s">
        <v>22</v>
      </c>
      <c r="D120" s="2">
        <v>45164</v>
      </c>
      <c r="E120" s="1" t="s">
        <v>23</v>
      </c>
      <c r="F120" s="1" t="s">
        <v>12</v>
      </c>
      <c r="G120" s="1" t="s">
        <v>19</v>
      </c>
      <c r="H120" s="1" t="s">
        <v>14</v>
      </c>
    </row>
    <row r="121" spans="1:8" x14ac:dyDescent="0.3">
      <c r="A121" s="1" t="s">
        <v>146</v>
      </c>
      <c r="B121" s="1" t="s">
        <v>16</v>
      </c>
      <c r="C121" s="1" t="s">
        <v>26</v>
      </c>
      <c r="D121" s="2">
        <v>45167</v>
      </c>
      <c r="E121" s="1" t="s">
        <v>11</v>
      </c>
      <c r="F121" s="1" t="s">
        <v>12</v>
      </c>
      <c r="G121" s="1" t="s">
        <v>13</v>
      </c>
      <c r="H121" s="1" t="s">
        <v>14</v>
      </c>
    </row>
    <row r="122" spans="1:8" x14ac:dyDescent="0.3">
      <c r="A122" s="1" t="s">
        <v>147</v>
      </c>
      <c r="B122" s="1" t="s">
        <v>16</v>
      </c>
      <c r="C122" s="1" t="s">
        <v>31</v>
      </c>
      <c r="D122" s="2">
        <v>45169</v>
      </c>
      <c r="E122" s="1" t="s">
        <v>11</v>
      </c>
      <c r="F122" s="1" t="s">
        <v>24</v>
      </c>
      <c r="G122" s="1" t="s">
        <v>19</v>
      </c>
      <c r="H122" s="1" t="s">
        <v>14</v>
      </c>
    </row>
    <row r="123" spans="1:8" x14ac:dyDescent="0.3">
      <c r="A123" s="1" t="s">
        <v>148</v>
      </c>
      <c r="B123" s="1" t="s">
        <v>9</v>
      </c>
      <c r="C123" s="1" t="s">
        <v>10</v>
      </c>
      <c r="D123" s="2">
        <v>45169</v>
      </c>
      <c r="E123" s="1" t="s">
        <v>18</v>
      </c>
      <c r="F123" s="1" t="s">
        <v>12</v>
      </c>
      <c r="G123" s="1" t="s">
        <v>35</v>
      </c>
      <c r="H123" s="1" t="s">
        <v>20</v>
      </c>
    </row>
    <row r="124" spans="1:8" x14ac:dyDescent="0.3">
      <c r="A124" s="1" t="s">
        <v>149</v>
      </c>
      <c r="B124" s="1" t="s">
        <v>16</v>
      </c>
      <c r="C124" s="1" t="s">
        <v>17</v>
      </c>
      <c r="D124" s="2">
        <v>45169</v>
      </c>
      <c r="E124" s="1" t="s">
        <v>23</v>
      </c>
      <c r="F124" s="1" t="s">
        <v>24</v>
      </c>
      <c r="G124" s="1" t="s">
        <v>19</v>
      </c>
      <c r="H124" s="1" t="s">
        <v>14</v>
      </c>
    </row>
    <row r="125" spans="1:8" x14ac:dyDescent="0.3">
      <c r="A125" s="1" t="s">
        <v>150</v>
      </c>
      <c r="B125" s="1" t="s">
        <v>9</v>
      </c>
      <c r="C125" s="1" t="s">
        <v>22</v>
      </c>
      <c r="D125" s="2">
        <v>45169</v>
      </c>
      <c r="E125" s="1" t="s">
        <v>11</v>
      </c>
      <c r="F125" s="1" t="s">
        <v>12</v>
      </c>
      <c r="G125" s="1" t="s">
        <v>13</v>
      </c>
      <c r="H125" s="1" t="s">
        <v>14</v>
      </c>
    </row>
    <row r="126" spans="1:8" x14ac:dyDescent="0.3">
      <c r="A126" s="1" t="s">
        <v>151</v>
      </c>
      <c r="B126" s="1" t="s">
        <v>9</v>
      </c>
      <c r="C126" s="1" t="s">
        <v>26</v>
      </c>
      <c r="D126" s="2">
        <v>45169</v>
      </c>
      <c r="E126" s="1" t="s">
        <v>27</v>
      </c>
      <c r="F126" s="1" t="s">
        <v>24</v>
      </c>
      <c r="G126" s="1" t="s">
        <v>13</v>
      </c>
      <c r="H126" s="1" t="s">
        <v>14</v>
      </c>
    </row>
    <row r="127" spans="1:8" x14ac:dyDescent="0.3">
      <c r="A127" s="1" t="s">
        <v>152</v>
      </c>
      <c r="B127" s="1" t="s">
        <v>16</v>
      </c>
      <c r="C127" s="1" t="s">
        <v>29</v>
      </c>
      <c r="D127" s="2">
        <v>45169</v>
      </c>
      <c r="E127" s="1" t="s">
        <v>11</v>
      </c>
      <c r="F127" s="1" t="s">
        <v>12</v>
      </c>
      <c r="G127" s="1" t="s">
        <v>13</v>
      </c>
      <c r="H127" s="1" t="s">
        <v>14</v>
      </c>
    </row>
    <row r="128" spans="1:8" x14ac:dyDescent="0.3">
      <c r="A128" s="1" t="s">
        <v>153</v>
      </c>
      <c r="B128" s="1" t="s">
        <v>9</v>
      </c>
      <c r="C128" s="1" t="s">
        <v>31</v>
      </c>
      <c r="D128" s="2">
        <v>45169</v>
      </c>
      <c r="E128" s="1" t="s">
        <v>23</v>
      </c>
      <c r="F128" s="1" t="s">
        <v>12</v>
      </c>
      <c r="G128" s="1" t="s">
        <v>19</v>
      </c>
      <c r="H128" s="1" t="s">
        <v>20</v>
      </c>
    </row>
    <row r="129" spans="1:8" x14ac:dyDescent="0.3">
      <c r="A129" s="1" t="s">
        <v>154</v>
      </c>
      <c r="B129" s="1" t="s">
        <v>9</v>
      </c>
      <c r="C129" s="1" t="s">
        <v>10</v>
      </c>
      <c r="D129" s="2">
        <v>45169</v>
      </c>
      <c r="E129" s="1" t="s">
        <v>27</v>
      </c>
      <c r="F129" s="1" t="s">
        <v>24</v>
      </c>
      <c r="G129" s="1" t="s">
        <v>19</v>
      </c>
      <c r="H129" s="1" t="s">
        <v>14</v>
      </c>
    </row>
    <row r="130" spans="1:8" x14ac:dyDescent="0.3">
      <c r="A130" s="1" t="s">
        <v>155</v>
      </c>
      <c r="B130" s="1" t="s">
        <v>16</v>
      </c>
      <c r="C130" s="1" t="s">
        <v>17</v>
      </c>
      <c r="D130" s="2">
        <v>45169</v>
      </c>
      <c r="E130" s="1" t="s">
        <v>11</v>
      </c>
      <c r="F130" s="1" t="s">
        <v>12</v>
      </c>
      <c r="G130" s="1" t="s">
        <v>13</v>
      </c>
      <c r="H130" s="1" t="s">
        <v>14</v>
      </c>
    </row>
    <row r="131" spans="1:8" x14ac:dyDescent="0.3">
      <c r="A131" s="1" t="s">
        <v>156</v>
      </c>
      <c r="B131" s="1" t="s">
        <v>9</v>
      </c>
      <c r="C131" s="1" t="s">
        <v>22</v>
      </c>
      <c r="D131" s="2">
        <v>45169</v>
      </c>
      <c r="E131" s="1" t="s">
        <v>18</v>
      </c>
      <c r="F131" s="1" t="s">
        <v>12</v>
      </c>
      <c r="G131" s="1" t="s">
        <v>35</v>
      </c>
      <c r="H131" s="1" t="s">
        <v>20</v>
      </c>
    </row>
    <row r="132" spans="1:8" x14ac:dyDescent="0.3">
      <c r="A132" s="1" t="s">
        <v>157</v>
      </c>
      <c r="B132" s="1" t="s">
        <v>16</v>
      </c>
      <c r="C132" s="1" t="s">
        <v>26</v>
      </c>
      <c r="D132" s="2">
        <v>45169</v>
      </c>
      <c r="E132" s="1" t="s">
        <v>11</v>
      </c>
      <c r="F132" s="1" t="s">
        <v>24</v>
      </c>
      <c r="G132" s="1" t="s">
        <v>19</v>
      </c>
      <c r="H132" s="1" t="s">
        <v>14</v>
      </c>
    </row>
    <row r="133" spans="1:8" x14ac:dyDescent="0.3">
      <c r="A133" s="1" t="s">
        <v>158</v>
      </c>
      <c r="B133" s="1" t="s">
        <v>9</v>
      </c>
      <c r="C133" s="1" t="s">
        <v>29</v>
      </c>
      <c r="D133" s="2">
        <v>45169</v>
      </c>
      <c r="E133" s="1" t="s">
        <v>23</v>
      </c>
      <c r="F133" s="1" t="s">
        <v>12</v>
      </c>
      <c r="G133" s="1" t="s">
        <v>19</v>
      </c>
      <c r="H133" s="1" t="s">
        <v>14</v>
      </c>
    </row>
    <row r="134" spans="1:8" x14ac:dyDescent="0.3">
      <c r="A134" s="1" t="s">
        <v>159</v>
      </c>
      <c r="B134" s="1" t="s">
        <v>16</v>
      </c>
      <c r="C134" s="1" t="s">
        <v>31</v>
      </c>
      <c r="D134" s="2">
        <v>45169</v>
      </c>
      <c r="E134" s="1" t="s">
        <v>11</v>
      </c>
      <c r="F134" s="1" t="s">
        <v>12</v>
      </c>
      <c r="G134" s="1" t="s">
        <v>13</v>
      </c>
      <c r="H134" s="1" t="s">
        <v>14</v>
      </c>
    </row>
    <row r="135" spans="1:8" x14ac:dyDescent="0.3">
      <c r="A135" s="1" t="s">
        <v>160</v>
      </c>
      <c r="B135" s="1" t="s">
        <v>9</v>
      </c>
      <c r="C135" s="1" t="s">
        <v>10</v>
      </c>
      <c r="D135" s="2">
        <v>45169</v>
      </c>
      <c r="E135" s="1" t="s">
        <v>27</v>
      </c>
      <c r="F135" s="1" t="s">
        <v>24</v>
      </c>
      <c r="G135" s="1" t="s">
        <v>19</v>
      </c>
      <c r="H135" s="1" t="s">
        <v>14</v>
      </c>
    </row>
    <row r="136" spans="1:8" x14ac:dyDescent="0.3">
      <c r="A136" s="1" t="s">
        <v>161</v>
      </c>
      <c r="B136" s="1" t="s">
        <v>16</v>
      </c>
      <c r="C136" s="1" t="s">
        <v>26</v>
      </c>
      <c r="D136" s="2">
        <v>45169</v>
      </c>
      <c r="E136" s="1" t="s">
        <v>11</v>
      </c>
      <c r="F136" s="1" t="s">
        <v>12</v>
      </c>
      <c r="G136" s="1" t="s">
        <v>13</v>
      </c>
      <c r="H136" s="1" t="s">
        <v>14</v>
      </c>
    </row>
    <row r="137" spans="1:8" x14ac:dyDescent="0.3">
      <c r="A137" s="1" t="s">
        <v>162</v>
      </c>
      <c r="B137" s="1" t="s">
        <v>9</v>
      </c>
      <c r="C137" s="1" t="s">
        <v>29</v>
      </c>
      <c r="D137" s="2">
        <v>45169</v>
      </c>
      <c r="E137" s="1" t="s">
        <v>23</v>
      </c>
      <c r="F137" s="1" t="s">
        <v>24</v>
      </c>
      <c r="G137" s="1" t="s">
        <v>13</v>
      </c>
      <c r="H137" s="1" t="s">
        <v>20</v>
      </c>
    </row>
    <row r="138" spans="1:8" x14ac:dyDescent="0.3">
      <c r="A138" s="1" t="s">
        <v>163</v>
      </c>
      <c r="B138" s="1" t="s">
        <v>16</v>
      </c>
      <c r="C138" s="1" t="s">
        <v>31</v>
      </c>
      <c r="D138" s="2">
        <v>45169</v>
      </c>
      <c r="E138" s="1" t="s">
        <v>18</v>
      </c>
      <c r="F138" s="1" t="s">
        <v>12</v>
      </c>
      <c r="G138" s="1" t="s">
        <v>35</v>
      </c>
      <c r="H138" s="1" t="s">
        <v>20</v>
      </c>
    </row>
    <row r="139" spans="1:8" x14ac:dyDescent="0.3">
      <c r="A139" s="1" t="s">
        <v>164</v>
      </c>
      <c r="B139" s="1" t="s">
        <v>9</v>
      </c>
      <c r="C139" s="1" t="s">
        <v>17</v>
      </c>
      <c r="D139" s="2">
        <v>45169</v>
      </c>
      <c r="E139" s="1" t="s">
        <v>11</v>
      </c>
      <c r="F139" s="1" t="s">
        <v>24</v>
      </c>
      <c r="G139" s="1" t="s">
        <v>19</v>
      </c>
      <c r="H139" s="1" t="s">
        <v>14</v>
      </c>
    </row>
    <row r="140" spans="1:8" x14ac:dyDescent="0.3">
      <c r="A140" s="1" t="s">
        <v>165</v>
      </c>
      <c r="B140" s="1" t="s">
        <v>9</v>
      </c>
      <c r="C140" s="1" t="s">
        <v>22</v>
      </c>
      <c r="D140" s="2">
        <v>45169</v>
      </c>
      <c r="E140" s="1" t="s">
        <v>23</v>
      </c>
      <c r="F140" s="1" t="s">
        <v>12</v>
      </c>
      <c r="G140" s="1" t="s">
        <v>19</v>
      </c>
      <c r="H140" s="1" t="s">
        <v>14</v>
      </c>
    </row>
    <row r="141" spans="1:8" x14ac:dyDescent="0.3">
      <c r="A141" s="1" t="s">
        <v>166</v>
      </c>
      <c r="B141" s="1" t="s">
        <v>16</v>
      </c>
      <c r="C141" s="1" t="s">
        <v>26</v>
      </c>
      <c r="D141" s="2">
        <v>45169</v>
      </c>
      <c r="E141" s="1" t="s">
        <v>11</v>
      </c>
      <c r="F141" s="1" t="s">
        <v>12</v>
      </c>
      <c r="G141" s="1" t="s">
        <v>13</v>
      </c>
      <c r="H141" s="1" t="s">
        <v>14</v>
      </c>
    </row>
    <row r="142" spans="1:8" x14ac:dyDescent="0.3">
      <c r="A142" s="1" t="s">
        <v>167</v>
      </c>
      <c r="B142" s="1" t="s">
        <v>16</v>
      </c>
      <c r="C142" s="1" t="s">
        <v>17</v>
      </c>
      <c r="D142" s="2">
        <v>45148</v>
      </c>
      <c r="E142" s="1" t="s">
        <v>11</v>
      </c>
      <c r="F142" s="1" t="s">
        <v>24</v>
      </c>
      <c r="G142" s="1" t="s">
        <v>19</v>
      </c>
      <c r="H142" s="1" t="s">
        <v>14</v>
      </c>
    </row>
    <row r="143" spans="1:8" x14ac:dyDescent="0.3">
      <c r="A143" s="1" t="s">
        <v>168</v>
      </c>
      <c r="B143" s="1" t="s">
        <v>9</v>
      </c>
      <c r="C143" s="1" t="s">
        <v>22</v>
      </c>
      <c r="D143" s="2">
        <v>45153</v>
      </c>
      <c r="E143" s="1" t="s">
        <v>18</v>
      </c>
      <c r="F143" s="1" t="s">
        <v>12</v>
      </c>
      <c r="G143" s="1" t="s">
        <v>35</v>
      </c>
      <c r="H143" s="1" t="s">
        <v>20</v>
      </c>
    </row>
    <row r="144" spans="1:8" x14ac:dyDescent="0.3">
      <c r="A144" s="1" t="s">
        <v>169</v>
      </c>
      <c r="B144" s="1" t="s">
        <v>16</v>
      </c>
      <c r="C144" s="1" t="s">
        <v>26</v>
      </c>
      <c r="D144" s="2">
        <v>45158</v>
      </c>
      <c r="E144" s="1" t="s">
        <v>23</v>
      </c>
      <c r="F144" s="1" t="s">
        <v>24</v>
      </c>
      <c r="G144" s="1" t="s">
        <v>19</v>
      </c>
      <c r="H144" s="1" t="s">
        <v>14</v>
      </c>
    </row>
    <row r="145" spans="1:8" x14ac:dyDescent="0.3">
      <c r="A145" s="1" t="s">
        <v>170</v>
      </c>
      <c r="B145" s="1" t="s">
        <v>9</v>
      </c>
      <c r="C145" s="1" t="s">
        <v>29</v>
      </c>
      <c r="D145" s="2">
        <v>45163</v>
      </c>
      <c r="E145" s="1" t="s">
        <v>11</v>
      </c>
      <c r="F145" s="1" t="s">
        <v>12</v>
      </c>
      <c r="G145" s="1" t="s">
        <v>13</v>
      </c>
      <c r="H145" s="1" t="s">
        <v>14</v>
      </c>
    </row>
    <row r="146" spans="1:8" x14ac:dyDescent="0.3">
      <c r="A146" s="1" t="s">
        <v>171</v>
      </c>
      <c r="B146" s="1" t="s">
        <v>9</v>
      </c>
      <c r="C146" s="1" t="s">
        <v>31</v>
      </c>
      <c r="D146" s="2">
        <v>45169</v>
      </c>
      <c r="E146" s="1" t="s">
        <v>11</v>
      </c>
      <c r="F146" s="1" t="s">
        <v>24</v>
      </c>
      <c r="G146" s="1" t="s">
        <v>19</v>
      </c>
      <c r="H146" s="1" t="s">
        <v>14</v>
      </c>
    </row>
    <row r="147" spans="1:8" x14ac:dyDescent="0.3">
      <c r="A147" s="1" t="s">
        <v>172</v>
      </c>
      <c r="B147" s="1" t="s">
        <v>9</v>
      </c>
      <c r="C147" s="1" t="s">
        <v>10</v>
      </c>
      <c r="D147" s="2">
        <v>45146</v>
      </c>
      <c r="E147" s="1" t="s">
        <v>27</v>
      </c>
      <c r="F147" s="1" t="s">
        <v>24</v>
      </c>
      <c r="G147" s="1" t="s">
        <v>19</v>
      </c>
      <c r="H147" s="1" t="s">
        <v>14</v>
      </c>
    </row>
    <row r="148" spans="1:8" x14ac:dyDescent="0.3">
      <c r="A148" s="1" t="s">
        <v>173</v>
      </c>
      <c r="B148" s="1" t="s">
        <v>16</v>
      </c>
      <c r="C148" s="1" t="s">
        <v>26</v>
      </c>
      <c r="D148" s="2">
        <v>45151</v>
      </c>
      <c r="E148" s="1" t="s">
        <v>18</v>
      </c>
      <c r="F148" s="1" t="s">
        <v>12</v>
      </c>
      <c r="G148" s="1" t="s">
        <v>13</v>
      </c>
      <c r="H148" s="1" t="s">
        <v>14</v>
      </c>
    </row>
    <row r="149" spans="1:8" x14ac:dyDescent="0.3">
      <c r="A149" s="1" t="s">
        <v>174</v>
      </c>
      <c r="B149" s="1" t="s">
        <v>9</v>
      </c>
      <c r="C149" s="1" t="s">
        <v>29</v>
      </c>
      <c r="D149" s="2">
        <v>45156</v>
      </c>
      <c r="E149" s="1" t="s">
        <v>11</v>
      </c>
      <c r="F149" s="1" t="s">
        <v>12</v>
      </c>
      <c r="G149" s="1" t="s">
        <v>13</v>
      </c>
      <c r="H149" s="1" t="s">
        <v>20</v>
      </c>
    </row>
    <row r="150" spans="1:8" x14ac:dyDescent="0.3">
      <c r="A150" s="1" t="s">
        <v>175</v>
      </c>
      <c r="B150" s="1" t="s">
        <v>16</v>
      </c>
      <c r="C150" s="1" t="s">
        <v>31</v>
      </c>
      <c r="D150" s="2">
        <v>45161</v>
      </c>
      <c r="E150" s="1" t="s">
        <v>23</v>
      </c>
      <c r="F150" s="1" t="s">
        <v>24</v>
      </c>
      <c r="G150" s="1" t="s">
        <v>19</v>
      </c>
      <c r="H150" s="1" t="s">
        <v>14</v>
      </c>
    </row>
    <row r="151" spans="1:8" x14ac:dyDescent="0.3">
      <c r="A151" s="1" t="s">
        <v>176</v>
      </c>
      <c r="B151" s="1" t="s">
        <v>9</v>
      </c>
      <c r="C151" s="1" t="s">
        <v>10</v>
      </c>
      <c r="D151" s="2">
        <v>45166</v>
      </c>
      <c r="E151" s="1" t="s">
        <v>11</v>
      </c>
      <c r="F151" s="1" t="s">
        <v>12</v>
      </c>
      <c r="G151" s="1" t="s">
        <v>13</v>
      </c>
      <c r="H151" s="1" t="s">
        <v>14</v>
      </c>
    </row>
    <row r="152" spans="1:8" x14ac:dyDescent="0.3">
      <c r="A152" s="1" t="s">
        <v>177</v>
      </c>
      <c r="B152" s="1" t="s">
        <v>9</v>
      </c>
      <c r="C152" s="1" t="s">
        <v>22</v>
      </c>
      <c r="D152" s="2">
        <v>45143</v>
      </c>
      <c r="E152" s="1" t="s">
        <v>23</v>
      </c>
      <c r="F152" s="1" t="s">
        <v>12</v>
      </c>
      <c r="G152" s="1" t="s">
        <v>19</v>
      </c>
      <c r="H152" s="1" t="s">
        <v>14</v>
      </c>
    </row>
    <row r="153" spans="1:8" x14ac:dyDescent="0.3">
      <c r="A153" s="1" t="s">
        <v>178</v>
      </c>
      <c r="B153" s="1" t="s">
        <v>16</v>
      </c>
      <c r="C153" s="1" t="s">
        <v>26</v>
      </c>
      <c r="D153" s="2">
        <v>45148</v>
      </c>
      <c r="E153" s="1" t="s">
        <v>11</v>
      </c>
      <c r="F153" s="1" t="s">
        <v>24</v>
      </c>
      <c r="G153" s="1" t="s">
        <v>19</v>
      </c>
      <c r="H153" s="1" t="s">
        <v>14</v>
      </c>
    </row>
    <row r="154" spans="1:8" x14ac:dyDescent="0.3">
      <c r="A154" s="1" t="s">
        <v>179</v>
      </c>
      <c r="B154" s="1" t="s">
        <v>9</v>
      </c>
      <c r="C154" s="1" t="s">
        <v>29</v>
      </c>
      <c r="D154" s="2">
        <v>45153</v>
      </c>
      <c r="E154" s="1" t="s">
        <v>27</v>
      </c>
      <c r="F154" s="1" t="s">
        <v>24</v>
      </c>
      <c r="G154" s="1" t="s">
        <v>13</v>
      </c>
      <c r="H154" s="1" t="s">
        <v>14</v>
      </c>
    </row>
    <row r="155" spans="1:8" x14ac:dyDescent="0.3">
      <c r="A155" s="1" t="s">
        <v>180</v>
      </c>
      <c r="B155" s="1" t="s">
        <v>16</v>
      </c>
      <c r="C155" s="1" t="s">
        <v>31</v>
      </c>
      <c r="D155" s="2">
        <v>45158</v>
      </c>
      <c r="E155" s="1" t="s">
        <v>11</v>
      </c>
      <c r="F155" s="1" t="s">
        <v>12</v>
      </c>
      <c r="G155" s="1" t="s">
        <v>13</v>
      </c>
      <c r="H155" s="1" t="s">
        <v>14</v>
      </c>
    </row>
    <row r="156" spans="1:8" x14ac:dyDescent="0.3">
      <c r="A156" s="1" t="s">
        <v>181</v>
      </c>
      <c r="B156" s="1" t="s">
        <v>9</v>
      </c>
      <c r="C156" s="1" t="s">
        <v>10</v>
      </c>
      <c r="D156" s="2">
        <v>45163</v>
      </c>
      <c r="E156" s="1" t="s">
        <v>23</v>
      </c>
      <c r="F156" s="1" t="s">
        <v>12</v>
      </c>
      <c r="G156" s="1" t="s">
        <v>19</v>
      </c>
      <c r="H156" s="1" t="s">
        <v>20</v>
      </c>
    </row>
    <row r="157" spans="1:8" x14ac:dyDescent="0.3">
      <c r="A157" s="1" t="s">
        <v>182</v>
      </c>
      <c r="B157" s="1" t="s">
        <v>16</v>
      </c>
      <c r="C157" s="1" t="s">
        <v>26</v>
      </c>
      <c r="D157" s="2">
        <v>45169</v>
      </c>
      <c r="E157" s="1" t="s">
        <v>18</v>
      </c>
      <c r="F157" s="1" t="s">
        <v>24</v>
      </c>
      <c r="G157" s="1" t="s">
        <v>35</v>
      </c>
      <c r="H157" s="1" t="s">
        <v>20</v>
      </c>
    </row>
    <row r="158" spans="1:8" x14ac:dyDescent="0.3">
      <c r="A158" s="1" t="s">
        <v>183</v>
      </c>
      <c r="B158" s="1" t="s">
        <v>9</v>
      </c>
      <c r="C158" s="1" t="s">
        <v>29</v>
      </c>
      <c r="D158" s="2">
        <v>45146</v>
      </c>
      <c r="E158" s="1" t="s">
        <v>11</v>
      </c>
      <c r="F158" s="1" t="s">
        <v>24</v>
      </c>
      <c r="G158" s="1" t="s">
        <v>19</v>
      </c>
      <c r="H158" s="1" t="s">
        <v>14</v>
      </c>
    </row>
    <row r="159" spans="1:8" x14ac:dyDescent="0.3">
      <c r="A159" s="1" t="s">
        <v>184</v>
      </c>
      <c r="B159" s="1" t="s">
        <v>9</v>
      </c>
      <c r="C159" s="1" t="s">
        <v>31</v>
      </c>
      <c r="D159" s="2">
        <v>45151</v>
      </c>
      <c r="E159" s="1" t="s">
        <v>23</v>
      </c>
      <c r="F159" s="1" t="s">
        <v>12</v>
      </c>
      <c r="G159" s="1" t="s">
        <v>19</v>
      </c>
      <c r="H159" s="1" t="s">
        <v>14</v>
      </c>
    </row>
    <row r="160" spans="1:8" x14ac:dyDescent="0.3">
      <c r="A160" s="1" t="s">
        <v>185</v>
      </c>
      <c r="B160" s="1" t="s">
        <v>16</v>
      </c>
      <c r="C160" s="1" t="s">
        <v>10</v>
      </c>
      <c r="D160" s="2">
        <v>45156</v>
      </c>
      <c r="E160" s="1" t="s">
        <v>11</v>
      </c>
      <c r="F160" s="1" t="s">
        <v>12</v>
      </c>
      <c r="G160" s="1" t="s">
        <v>13</v>
      </c>
      <c r="H160" s="1" t="s">
        <v>14</v>
      </c>
    </row>
    <row r="161" spans="1:8" x14ac:dyDescent="0.3">
      <c r="A161" s="1" t="s">
        <v>186</v>
      </c>
      <c r="B161" s="1" t="s">
        <v>9</v>
      </c>
      <c r="C161" s="1" t="s">
        <v>26</v>
      </c>
      <c r="D161" s="2">
        <v>45161</v>
      </c>
      <c r="E161" s="1" t="s">
        <v>27</v>
      </c>
      <c r="F161" s="1" t="s">
        <v>24</v>
      </c>
      <c r="G161" s="1" t="s">
        <v>19</v>
      </c>
      <c r="H161" s="1" t="s">
        <v>20</v>
      </c>
    </row>
    <row r="162" spans="1:8" x14ac:dyDescent="0.3">
      <c r="A162" s="1" t="s">
        <v>187</v>
      </c>
      <c r="B162" s="1" t="s">
        <v>16</v>
      </c>
      <c r="C162" s="1" t="s">
        <v>29</v>
      </c>
      <c r="D162" s="2">
        <v>45166</v>
      </c>
      <c r="E162" s="1" t="s">
        <v>18</v>
      </c>
      <c r="F162" s="1" t="s">
        <v>12</v>
      </c>
      <c r="G162" s="1" t="s">
        <v>13</v>
      </c>
      <c r="H162" s="1" t="s">
        <v>14</v>
      </c>
    </row>
    <row r="163" spans="1:8" x14ac:dyDescent="0.3">
      <c r="A163" s="1" t="s">
        <v>188</v>
      </c>
      <c r="B163" s="1" t="s">
        <v>9</v>
      </c>
      <c r="C163" s="1" t="s">
        <v>31</v>
      </c>
      <c r="D163" s="2">
        <v>45144</v>
      </c>
      <c r="E163" s="1" t="s">
        <v>11</v>
      </c>
      <c r="F163" s="1" t="s">
        <v>24</v>
      </c>
      <c r="G163" s="1" t="s">
        <v>19</v>
      </c>
      <c r="H163" s="1" t="s">
        <v>14</v>
      </c>
    </row>
    <row r="164" spans="1:8" x14ac:dyDescent="0.3">
      <c r="A164" s="1" t="s">
        <v>189</v>
      </c>
      <c r="B164" s="1" t="s">
        <v>16</v>
      </c>
      <c r="C164" s="1" t="s">
        <v>10</v>
      </c>
      <c r="D164" s="2">
        <v>45149</v>
      </c>
      <c r="E164" s="1" t="s">
        <v>23</v>
      </c>
      <c r="F164" s="1" t="s">
        <v>12</v>
      </c>
      <c r="G164" s="1" t="s">
        <v>13</v>
      </c>
      <c r="H164" s="1" t="s">
        <v>14</v>
      </c>
    </row>
    <row r="165" spans="1:8" x14ac:dyDescent="0.3">
      <c r="A165" s="1" t="s">
        <v>190</v>
      </c>
      <c r="B165" s="1" t="s">
        <v>9</v>
      </c>
      <c r="C165" s="1" t="s">
        <v>26</v>
      </c>
      <c r="D165" s="2">
        <v>45154</v>
      </c>
      <c r="E165" s="1" t="s">
        <v>11</v>
      </c>
      <c r="F165" s="1" t="s">
        <v>12</v>
      </c>
      <c r="G165" s="1" t="s">
        <v>13</v>
      </c>
      <c r="H165" s="1" t="s">
        <v>14</v>
      </c>
    </row>
    <row r="166" spans="1:8" x14ac:dyDescent="0.3">
      <c r="A166" s="1" t="s">
        <v>191</v>
      </c>
      <c r="B166" s="1" t="s">
        <v>16</v>
      </c>
      <c r="C166" s="1" t="s">
        <v>29</v>
      </c>
      <c r="D166" s="2">
        <v>45159</v>
      </c>
      <c r="E166" s="1" t="s">
        <v>18</v>
      </c>
      <c r="F166" s="1" t="s">
        <v>24</v>
      </c>
      <c r="G166" s="1" t="s">
        <v>35</v>
      </c>
      <c r="H166" s="1" t="s">
        <v>20</v>
      </c>
    </row>
    <row r="167" spans="1:8" x14ac:dyDescent="0.3">
      <c r="A167" s="1" t="s">
        <v>192</v>
      </c>
      <c r="B167" s="1" t="s">
        <v>9</v>
      </c>
      <c r="C167" s="1" t="s">
        <v>31</v>
      </c>
      <c r="D167" s="2">
        <v>45164</v>
      </c>
      <c r="E167" s="1" t="s">
        <v>11</v>
      </c>
      <c r="F167" s="1" t="s">
        <v>12</v>
      </c>
      <c r="G167" s="1" t="s">
        <v>19</v>
      </c>
      <c r="H167" s="1" t="s">
        <v>14</v>
      </c>
    </row>
    <row r="168" spans="1:8" x14ac:dyDescent="0.3">
      <c r="A168" s="1" t="s">
        <v>193</v>
      </c>
      <c r="B168" s="1" t="s">
        <v>16</v>
      </c>
      <c r="C168" s="1" t="s">
        <v>10</v>
      </c>
      <c r="D168" s="2">
        <v>45169</v>
      </c>
      <c r="E168" s="1" t="s">
        <v>23</v>
      </c>
      <c r="F168" s="1" t="s">
        <v>12</v>
      </c>
      <c r="G168" s="1" t="s">
        <v>13</v>
      </c>
      <c r="H168" s="1" t="s">
        <v>14</v>
      </c>
    </row>
    <row r="169" spans="1:8" x14ac:dyDescent="0.3">
      <c r="A169" s="1" t="s">
        <v>194</v>
      </c>
      <c r="B169" s="1" t="s">
        <v>9</v>
      </c>
      <c r="C169" s="1" t="s">
        <v>26</v>
      </c>
      <c r="D169" s="2">
        <v>45145</v>
      </c>
      <c r="E169" s="1" t="s">
        <v>11</v>
      </c>
      <c r="F169" s="1" t="s">
        <v>24</v>
      </c>
      <c r="G169" s="1" t="s">
        <v>19</v>
      </c>
      <c r="H169" s="1" t="s">
        <v>20</v>
      </c>
    </row>
    <row r="170" spans="1:8" x14ac:dyDescent="0.3">
      <c r="A170" s="1" t="s">
        <v>195</v>
      </c>
      <c r="B170" s="1" t="s">
        <v>16</v>
      </c>
      <c r="C170" s="1" t="s">
        <v>29</v>
      </c>
      <c r="D170" s="2">
        <v>45150</v>
      </c>
      <c r="E170" s="1" t="s">
        <v>27</v>
      </c>
      <c r="F170" s="1" t="s">
        <v>24</v>
      </c>
      <c r="G170" s="1" t="s">
        <v>19</v>
      </c>
      <c r="H170" s="1" t="s">
        <v>14</v>
      </c>
    </row>
    <row r="171" spans="1:8" x14ac:dyDescent="0.3">
      <c r="A171" s="1" t="s">
        <v>196</v>
      </c>
      <c r="B171" s="1" t="s">
        <v>9</v>
      </c>
      <c r="C171" s="1" t="s">
        <v>31</v>
      </c>
      <c r="D171" s="2">
        <v>45155</v>
      </c>
      <c r="E171" s="1" t="s">
        <v>18</v>
      </c>
      <c r="F171" s="1" t="s">
        <v>12</v>
      </c>
      <c r="G171" s="1" t="s">
        <v>13</v>
      </c>
      <c r="H171" s="1" t="s">
        <v>14</v>
      </c>
    </row>
    <row r="172" spans="1:8" x14ac:dyDescent="0.3">
      <c r="A172" s="1" t="s">
        <v>197</v>
      </c>
      <c r="B172" s="1" t="s">
        <v>16</v>
      </c>
      <c r="C172" s="1" t="s">
        <v>10</v>
      </c>
      <c r="D172" s="2">
        <v>45160</v>
      </c>
      <c r="E172" s="1" t="s">
        <v>11</v>
      </c>
      <c r="F172" s="1" t="s">
        <v>12</v>
      </c>
      <c r="G172" s="1" t="s">
        <v>13</v>
      </c>
      <c r="H172" s="1" t="s">
        <v>14</v>
      </c>
    </row>
    <row r="173" spans="1:8" x14ac:dyDescent="0.3">
      <c r="A173" s="1" t="s">
        <v>198</v>
      </c>
      <c r="B173" s="1" t="s">
        <v>9</v>
      </c>
      <c r="C173" s="1" t="s">
        <v>26</v>
      </c>
      <c r="D173" s="2">
        <v>45165</v>
      </c>
      <c r="E173" s="1" t="s">
        <v>23</v>
      </c>
      <c r="F173" s="1" t="s">
        <v>24</v>
      </c>
      <c r="G173" s="1" t="s">
        <v>35</v>
      </c>
      <c r="H173" s="1" t="s">
        <v>14</v>
      </c>
    </row>
    <row r="174" spans="1:8" x14ac:dyDescent="0.3">
      <c r="A174" s="1" t="s">
        <v>199</v>
      </c>
      <c r="B174" s="1" t="s">
        <v>16</v>
      </c>
      <c r="C174" s="1" t="s">
        <v>29</v>
      </c>
      <c r="D174" s="2">
        <v>45141</v>
      </c>
      <c r="E174" s="1" t="s">
        <v>11</v>
      </c>
      <c r="F174" s="1" t="s">
        <v>12</v>
      </c>
      <c r="G174" s="1" t="s">
        <v>13</v>
      </c>
      <c r="H174" s="1" t="s">
        <v>14</v>
      </c>
    </row>
    <row r="175" spans="1:8" x14ac:dyDescent="0.3">
      <c r="A175" s="1" t="s">
        <v>200</v>
      </c>
      <c r="B175" s="1" t="s">
        <v>9</v>
      </c>
      <c r="C175" s="1" t="s">
        <v>31</v>
      </c>
      <c r="D175" s="2">
        <v>45146</v>
      </c>
      <c r="E175" s="1" t="s">
        <v>23</v>
      </c>
      <c r="F175" s="1" t="s">
        <v>24</v>
      </c>
      <c r="G175" s="1" t="s">
        <v>19</v>
      </c>
      <c r="H175" s="1" t="s">
        <v>14</v>
      </c>
    </row>
    <row r="176" spans="1:8" x14ac:dyDescent="0.3">
      <c r="A176" s="1" t="s">
        <v>201</v>
      </c>
      <c r="B176" s="1" t="s">
        <v>16</v>
      </c>
      <c r="C176" s="1" t="s">
        <v>10</v>
      </c>
      <c r="D176" s="2">
        <v>45151</v>
      </c>
      <c r="E176" s="1" t="s">
        <v>11</v>
      </c>
      <c r="F176" s="1" t="s">
        <v>12</v>
      </c>
      <c r="G176" s="1" t="s">
        <v>13</v>
      </c>
      <c r="H176" s="1" t="s">
        <v>20</v>
      </c>
    </row>
    <row r="177" spans="1:8" x14ac:dyDescent="0.3">
      <c r="A177" s="1" t="s">
        <v>202</v>
      </c>
      <c r="B177" s="1" t="s">
        <v>9</v>
      </c>
      <c r="C177" s="1" t="s">
        <v>26</v>
      </c>
      <c r="D177" s="2">
        <v>45156</v>
      </c>
      <c r="E177" s="1" t="s">
        <v>18</v>
      </c>
      <c r="F177" s="1" t="s">
        <v>12</v>
      </c>
      <c r="G177" s="1" t="s">
        <v>19</v>
      </c>
      <c r="H177" s="1" t="s">
        <v>14</v>
      </c>
    </row>
    <row r="178" spans="1:8" x14ac:dyDescent="0.3">
      <c r="A178" s="1" t="s">
        <v>203</v>
      </c>
      <c r="B178" s="1" t="s">
        <v>16</v>
      </c>
      <c r="C178" s="1" t="s">
        <v>29</v>
      </c>
      <c r="D178" s="2">
        <v>45161</v>
      </c>
      <c r="E178" s="1" t="s">
        <v>11</v>
      </c>
      <c r="F178" s="1" t="s">
        <v>24</v>
      </c>
      <c r="G178" s="1" t="s">
        <v>13</v>
      </c>
      <c r="H178" s="1" t="s">
        <v>14</v>
      </c>
    </row>
    <row r="179" spans="1:8" x14ac:dyDescent="0.3">
      <c r="A179" s="1" t="s">
        <v>204</v>
      </c>
      <c r="B179" s="1" t="s">
        <v>9</v>
      </c>
      <c r="C179" s="1" t="s">
        <v>31</v>
      </c>
      <c r="D179" s="2">
        <v>45166</v>
      </c>
      <c r="E179" s="1" t="s">
        <v>23</v>
      </c>
      <c r="F179" s="1" t="s">
        <v>12</v>
      </c>
      <c r="G179" s="1" t="s">
        <v>19</v>
      </c>
      <c r="H179" s="1" t="s">
        <v>14</v>
      </c>
    </row>
    <row r="180" spans="1:8" x14ac:dyDescent="0.3">
      <c r="A180" s="1" t="s">
        <v>205</v>
      </c>
      <c r="B180" s="1" t="s">
        <v>16</v>
      </c>
      <c r="C180" s="1" t="s">
        <v>10</v>
      </c>
      <c r="D180" s="2">
        <v>45142</v>
      </c>
      <c r="E180" s="1" t="s">
        <v>11</v>
      </c>
      <c r="F180" s="1" t="s">
        <v>12</v>
      </c>
      <c r="G180" s="1" t="s">
        <v>13</v>
      </c>
      <c r="H180" s="1" t="s">
        <v>14</v>
      </c>
    </row>
    <row r="181" spans="1:8" x14ac:dyDescent="0.3">
      <c r="A181" s="1" t="s">
        <v>206</v>
      </c>
      <c r="B181" s="1" t="s">
        <v>9</v>
      </c>
      <c r="C181" s="1" t="s">
        <v>26</v>
      </c>
      <c r="D181" s="2">
        <v>45147</v>
      </c>
      <c r="E181" s="1" t="s">
        <v>27</v>
      </c>
      <c r="F181" s="1" t="s">
        <v>24</v>
      </c>
      <c r="G181" s="1" t="s">
        <v>19</v>
      </c>
      <c r="H181" s="1" t="s">
        <v>14</v>
      </c>
    </row>
    <row r="182" spans="1:8" x14ac:dyDescent="0.3">
      <c r="A182" s="1" t="s">
        <v>207</v>
      </c>
      <c r="B182" s="1" t="s">
        <v>16</v>
      </c>
      <c r="C182" s="1" t="s">
        <v>29</v>
      </c>
      <c r="D182" s="2">
        <v>45152</v>
      </c>
      <c r="E182" s="1" t="s">
        <v>11</v>
      </c>
      <c r="F182" s="1" t="s">
        <v>12</v>
      </c>
      <c r="G182" s="1" t="s">
        <v>13</v>
      </c>
      <c r="H182" s="1" t="s">
        <v>14</v>
      </c>
    </row>
    <row r="183" spans="1:8" x14ac:dyDescent="0.3">
      <c r="A183" s="1" t="s">
        <v>208</v>
      </c>
      <c r="B183" s="1" t="s">
        <v>9</v>
      </c>
      <c r="C183" s="1" t="s">
        <v>31</v>
      </c>
      <c r="D183" s="2">
        <v>45157</v>
      </c>
      <c r="E183" s="1" t="s">
        <v>23</v>
      </c>
      <c r="F183" s="1" t="s">
        <v>24</v>
      </c>
      <c r="G183" s="1" t="s">
        <v>19</v>
      </c>
      <c r="H183" s="1" t="s">
        <v>20</v>
      </c>
    </row>
    <row r="184" spans="1:8" x14ac:dyDescent="0.3">
      <c r="A184" s="1" t="s">
        <v>209</v>
      </c>
      <c r="B184" s="1" t="s">
        <v>16</v>
      </c>
      <c r="C184" s="1" t="s">
        <v>10</v>
      </c>
      <c r="D184" s="2">
        <v>45162</v>
      </c>
      <c r="E184" s="1" t="s">
        <v>11</v>
      </c>
      <c r="F184" s="1" t="s">
        <v>12</v>
      </c>
      <c r="G184" s="1" t="s">
        <v>13</v>
      </c>
      <c r="H184" s="1" t="s">
        <v>14</v>
      </c>
    </row>
    <row r="185" spans="1:8" x14ac:dyDescent="0.3">
      <c r="A185" s="1" t="s">
        <v>210</v>
      </c>
      <c r="B185" s="1" t="s">
        <v>9</v>
      </c>
      <c r="C185" s="1" t="s">
        <v>26</v>
      </c>
      <c r="D185" s="2">
        <v>45167</v>
      </c>
      <c r="E185" s="1" t="s">
        <v>18</v>
      </c>
      <c r="F185" s="1" t="s">
        <v>12</v>
      </c>
      <c r="G185" s="1" t="s">
        <v>13</v>
      </c>
      <c r="H185" s="1" t="s">
        <v>14</v>
      </c>
    </row>
    <row r="186" spans="1:8" x14ac:dyDescent="0.3">
      <c r="A186" s="1" t="s">
        <v>211</v>
      </c>
      <c r="B186" s="1" t="s">
        <v>16</v>
      </c>
      <c r="C186" s="1" t="s">
        <v>29</v>
      </c>
      <c r="D186" s="2">
        <v>45140</v>
      </c>
      <c r="E186" s="1" t="s">
        <v>11</v>
      </c>
      <c r="F186" s="1" t="s">
        <v>24</v>
      </c>
      <c r="G186" s="1" t="s">
        <v>19</v>
      </c>
      <c r="H186" s="1" t="s">
        <v>14</v>
      </c>
    </row>
    <row r="187" spans="1:8" x14ac:dyDescent="0.3">
      <c r="A187" s="1" t="s">
        <v>212</v>
      </c>
      <c r="B187" s="1" t="s">
        <v>9</v>
      </c>
      <c r="C187" s="1" t="s">
        <v>31</v>
      </c>
      <c r="D187" s="2">
        <v>45145</v>
      </c>
      <c r="E187" s="1" t="s">
        <v>23</v>
      </c>
      <c r="F187" s="1" t="s">
        <v>12</v>
      </c>
      <c r="G187" s="1" t="s">
        <v>13</v>
      </c>
      <c r="H187" s="1" t="s">
        <v>14</v>
      </c>
    </row>
    <row r="188" spans="1:8" x14ac:dyDescent="0.3">
      <c r="A188" s="1" t="s">
        <v>213</v>
      </c>
      <c r="B188" s="1" t="s">
        <v>16</v>
      </c>
      <c r="C188" s="1" t="s">
        <v>10</v>
      </c>
      <c r="D188" s="2">
        <v>45150</v>
      </c>
      <c r="E188" s="1" t="s">
        <v>11</v>
      </c>
      <c r="F188" s="1" t="s">
        <v>12</v>
      </c>
      <c r="G188" s="1" t="s">
        <v>19</v>
      </c>
      <c r="H188" s="1" t="s">
        <v>20</v>
      </c>
    </row>
    <row r="189" spans="1:8" x14ac:dyDescent="0.3">
      <c r="A189" s="1" t="s">
        <v>214</v>
      </c>
      <c r="B189" s="1" t="s">
        <v>9</v>
      </c>
      <c r="C189" s="1" t="s">
        <v>26</v>
      </c>
      <c r="D189" s="2">
        <v>45155</v>
      </c>
      <c r="E189" s="1" t="s">
        <v>18</v>
      </c>
      <c r="F189" s="1" t="s">
        <v>24</v>
      </c>
      <c r="G189" s="1" t="s">
        <v>19</v>
      </c>
      <c r="H189" s="1" t="s">
        <v>14</v>
      </c>
    </row>
    <row r="190" spans="1:8" x14ac:dyDescent="0.3">
      <c r="A190" s="1" t="s">
        <v>215</v>
      </c>
      <c r="B190" s="1" t="s">
        <v>16</v>
      </c>
      <c r="C190" s="1" t="s">
        <v>29</v>
      </c>
      <c r="D190" s="2">
        <v>45160</v>
      </c>
      <c r="E190" s="1" t="s">
        <v>11</v>
      </c>
      <c r="F190" s="1" t="s">
        <v>12</v>
      </c>
      <c r="G190" s="1" t="s">
        <v>13</v>
      </c>
      <c r="H190" s="1" t="s">
        <v>14</v>
      </c>
    </row>
    <row r="191" spans="1:8" x14ac:dyDescent="0.3">
      <c r="A191" s="1" t="s">
        <v>216</v>
      </c>
      <c r="B191" s="1" t="s">
        <v>9</v>
      </c>
      <c r="C191" s="1" t="s">
        <v>31</v>
      </c>
      <c r="D191" s="2">
        <v>45165</v>
      </c>
      <c r="E191" s="1" t="s">
        <v>23</v>
      </c>
      <c r="F191" s="1" t="s">
        <v>24</v>
      </c>
      <c r="G191" s="1" t="s">
        <v>13</v>
      </c>
      <c r="H191" s="1" t="s">
        <v>14</v>
      </c>
    </row>
    <row r="192" spans="1:8" x14ac:dyDescent="0.3">
      <c r="A192" s="1" t="s">
        <v>217</v>
      </c>
      <c r="B192" s="1" t="s">
        <v>16</v>
      </c>
      <c r="C192" s="1" t="s">
        <v>10</v>
      </c>
      <c r="D192" s="2">
        <v>45143</v>
      </c>
      <c r="E192" s="1" t="s">
        <v>11</v>
      </c>
      <c r="F192" s="1" t="s">
        <v>12</v>
      </c>
      <c r="G192" s="1" t="s">
        <v>19</v>
      </c>
      <c r="H192" s="1" t="s">
        <v>14</v>
      </c>
    </row>
    <row r="193" spans="1:8" x14ac:dyDescent="0.3">
      <c r="A193" s="1" t="s">
        <v>218</v>
      </c>
      <c r="B193" s="1" t="s">
        <v>9</v>
      </c>
      <c r="C193" s="1" t="s">
        <v>26</v>
      </c>
      <c r="D193" s="2">
        <v>45148</v>
      </c>
      <c r="E193" s="1" t="s">
        <v>18</v>
      </c>
      <c r="F193" s="1" t="s">
        <v>12</v>
      </c>
      <c r="G193" s="1" t="s">
        <v>13</v>
      </c>
      <c r="H193" s="1" t="s">
        <v>14</v>
      </c>
    </row>
    <row r="194" spans="1:8" x14ac:dyDescent="0.3">
      <c r="A194" s="1" t="s">
        <v>219</v>
      </c>
      <c r="B194" s="1" t="s">
        <v>16</v>
      </c>
      <c r="C194" s="1" t="s">
        <v>29</v>
      </c>
      <c r="D194" s="2">
        <v>45153</v>
      </c>
      <c r="E194" s="1" t="s">
        <v>11</v>
      </c>
      <c r="F194" s="1" t="s">
        <v>24</v>
      </c>
      <c r="G194" s="1" t="s">
        <v>19</v>
      </c>
      <c r="H194" s="1" t="s">
        <v>14</v>
      </c>
    </row>
    <row r="195" spans="1:8" x14ac:dyDescent="0.3">
      <c r="A195" s="1" t="s">
        <v>220</v>
      </c>
      <c r="B195" s="1" t="s">
        <v>9</v>
      </c>
      <c r="C195" s="1" t="s">
        <v>31</v>
      </c>
      <c r="D195" s="2">
        <v>45158</v>
      </c>
      <c r="E195" s="1" t="s">
        <v>23</v>
      </c>
      <c r="F195" s="1" t="s">
        <v>12</v>
      </c>
      <c r="G195" s="1" t="s">
        <v>19</v>
      </c>
      <c r="H195" s="1" t="s">
        <v>20</v>
      </c>
    </row>
    <row r="196" spans="1:8" x14ac:dyDescent="0.3">
      <c r="A196" s="1" t="s">
        <v>221</v>
      </c>
      <c r="B196" s="1" t="s">
        <v>16</v>
      </c>
      <c r="C196" s="1" t="s">
        <v>10</v>
      </c>
      <c r="D196" s="2">
        <v>45163</v>
      </c>
      <c r="E196" s="1" t="s">
        <v>11</v>
      </c>
      <c r="F196" s="1" t="s">
        <v>12</v>
      </c>
      <c r="G196" s="1" t="s">
        <v>13</v>
      </c>
      <c r="H196" s="1" t="s">
        <v>14</v>
      </c>
    </row>
    <row r="197" spans="1:8" x14ac:dyDescent="0.3">
      <c r="A197" s="1" t="s">
        <v>222</v>
      </c>
      <c r="B197" s="1" t="s">
        <v>9</v>
      </c>
      <c r="C197" s="1" t="s">
        <v>26</v>
      </c>
      <c r="D197" s="2">
        <v>45168</v>
      </c>
      <c r="E197" s="1" t="s">
        <v>27</v>
      </c>
      <c r="F197" s="1" t="s">
        <v>24</v>
      </c>
      <c r="G197" s="1" t="s">
        <v>19</v>
      </c>
      <c r="H197" s="1" t="s">
        <v>14</v>
      </c>
    </row>
    <row r="198" spans="1:8" x14ac:dyDescent="0.3">
      <c r="A198" s="1" t="s">
        <v>223</v>
      </c>
      <c r="B198" s="1" t="s">
        <v>16</v>
      </c>
      <c r="C198" s="1" t="s">
        <v>29</v>
      </c>
      <c r="D198" s="2">
        <v>45139</v>
      </c>
      <c r="E198" s="1" t="s">
        <v>18</v>
      </c>
      <c r="F198" s="1" t="s">
        <v>12</v>
      </c>
      <c r="G198" s="1" t="s">
        <v>13</v>
      </c>
      <c r="H198" s="1" t="s">
        <v>20</v>
      </c>
    </row>
    <row r="199" spans="1:8" x14ac:dyDescent="0.3">
      <c r="A199" s="1" t="s">
        <v>224</v>
      </c>
      <c r="B199" s="1" t="s">
        <v>9</v>
      </c>
      <c r="C199" s="1" t="s">
        <v>31</v>
      </c>
      <c r="D199" s="2">
        <v>45144</v>
      </c>
      <c r="E199" s="1" t="s">
        <v>11</v>
      </c>
      <c r="F199" s="1" t="s">
        <v>24</v>
      </c>
      <c r="G199" s="1" t="s">
        <v>19</v>
      </c>
      <c r="H199" s="1" t="s">
        <v>14</v>
      </c>
    </row>
    <row r="200" spans="1:8" x14ac:dyDescent="0.3">
      <c r="A200" s="1" t="s">
        <v>225</v>
      </c>
      <c r="B200" s="1" t="s">
        <v>16</v>
      </c>
      <c r="C200" s="1" t="s">
        <v>10</v>
      </c>
      <c r="D200" s="2">
        <v>45149</v>
      </c>
      <c r="E200" s="1" t="s">
        <v>23</v>
      </c>
      <c r="F200" s="1" t="s">
        <v>12</v>
      </c>
      <c r="G200" s="1" t="s">
        <v>13</v>
      </c>
      <c r="H200" s="1" t="s">
        <v>14</v>
      </c>
    </row>
    <row r="201" spans="1:8" x14ac:dyDescent="0.3">
      <c r="A201" s="1" t="s">
        <v>226</v>
      </c>
      <c r="B201" s="1" t="s">
        <v>9</v>
      </c>
      <c r="C201" s="1" t="s">
        <v>26</v>
      </c>
      <c r="D201" s="2">
        <v>45154</v>
      </c>
      <c r="E201" s="1" t="s">
        <v>11</v>
      </c>
      <c r="F201" s="1" t="s">
        <v>12</v>
      </c>
      <c r="G201" s="1" t="s">
        <v>13</v>
      </c>
      <c r="H201" s="1" t="s">
        <v>14</v>
      </c>
    </row>
    <row r="202" spans="1:8" x14ac:dyDescent="0.3">
      <c r="A202" s="1" t="s">
        <v>227</v>
      </c>
      <c r="B202" s="1" t="s">
        <v>9</v>
      </c>
      <c r="C202" s="1" t="s">
        <v>31</v>
      </c>
      <c r="D202" s="2">
        <v>45159</v>
      </c>
      <c r="E202" s="1" t="s">
        <v>23</v>
      </c>
      <c r="F202" s="1" t="s">
        <v>12</v>
      </c>
      <c r="G202" s="1" t="s">
        <v>13</v>
      </c>
      <c r="H202" s="1" t="s">
        <v>20</v>
      </c>
    </row>
    <row r="203" spans="1:8" x14ac:dyDescent="0.3">
      <c r="A203" s="1" t="s">
        <v>228</v>
      </c>
      <c r="B203" s="1" t="s">
        <v>16</v>
      </c>
      <c r="C203" s="1" t="s">
        <v>10</v>
      </c>
      <c r="D203" s="2">
        <v>45164</v>
      </c>
      <c r="E203" s="1" t="s">
        <v>11</v>
      </c>
      <c r="F203" s="1" t="s">
        <v>12</v>
      </c>
      <c r="G203" s="1" t="s">
        <v>19</v>
      </c>
      <c r="H203" s="1" t="s">
        <v>14</v>
      </c>
    </row>
    <row r="204" spans="1:8" x14ac:dyDescent="0.3">
      <c r="A204" s="1" t="s">
        <v>229</v>
      </c>
      <c r="B204" s="1" t="s">
        <v>9</v>
      </c>
      <c r="C204" s="1" t="s">
        <v>26</v>
      </c>
      <c r="D204" s="2">
        <v>45169</v>
      </c>
      <c r="E204" s="1" t="s">
        <v>18</v>
      </c>
      <c r="F204" s="1" t="s">
        <v>24</v>
      </c>
      <c r="G204" s="1" t="s">
        <v>35</v>
      </c>
      <c r="H204" s="1" t="s">
        <v>20</v>
      </c>
    </row>
    <row r="205" spans="1:8" x14ac:dyDescent="0.3">
      <c r="A205" s="1" t="s">
        <v>230</v>
      </c>
      <c r="B205" s="1" t="s">
        <v>16</v>
      </c>
      <c r="C205" s="1" t="s">
        <v>29</v>
      </c>
      <c r="D205" s="2">
        <v>45146</v>
      </c>
      <c r="E205" s="1" t="s">
        <v>11</v>
      </c>
      <c r="F205" s="1" t="s">
        <v>24</v>
      </c>
      <c r="G205" s="1" t="s">
        <v>19</v>
      </c>
      <c r="H205" s="1" t="s">
        <v>14</v>
      </c>
    </row>
    <row r="206" spans="1:8" x14ac:dyDescent="0.3">
      <c r="A206" s="1" t="s">
        <v>231</v>
      </c>
      <c r="B206" s="1" t="s">
        <v>9</v>
      </c>
      <c r="C206" s="1" t="s">
        <v>31</v>
      </c>
      <c r="D206" s="2">
        <v>45151</v>
      </c>
      <c r="E206" s="1" t="s">
        <v>23</v>
      </c>
      <c r="F206" s="1" t="s">
        <v>12</v>
      </c>
      <c r="G206" s="1" t="s">
        <v>19</v>
      </c>
      <c r="H206" s="1" t="s">
        <v>14</v>
      </c>
    </row>
    <row r="207" spans="1:8" x14ac:dyDescent="0.3">
      <c r="A207" s="1" t="s">
        <v>232</v>
      </c>
      <c r="B207" s="1" t="s">
        <v>16</v>
      </c>
      <c r="C207" s="1" t="s">
        <v>10</v>
      </c>
      <c r="D207" s="2">
        <v>45156</v>
      </c>
      <c r="E207" s="1" t="s">
        <v>11</v>
      </c>
      <c r="F207" s="1" t="s">
        <v>12</v>
      </c>
      <c r="G207" s="1" t="s">
        <v>13</v>
      </c>
      <c r="H207" s="1" t="s">
        <v>14</v>
      </c>
    </row>
    <row r="208" spans="1:8" x14ac:dyDescent="0.3">
      <c r="A208" s="1" t="s">
        <v>233</v>
      </c>
      <c r="B208" s="1" t="s">
        <v>9</v>
      </c>
      <c r="C208" s="1" t="s">
        <v>26</v>
      </c>
      <c r="D208" s="2">
        <v>45161</v>
      </c>
      <c r="E208" s="1" t="s">
        <v>27</v>
      </c>
      <c r="F208" s="1" t="s">
        <v>24</v>
      </c>
      <c r="G208" s="1" t="s">
        <v>19</v>
      </c>
      <c r="H208" s="1" t="s">
        <v>20</v>
      </c>
    </row>
    <row r="209" spans="1:8" x14ac:dyDescent="0.3">
      <c r="A209" s="1" t="s">
        <v>234</v>
      </c>
      <c r="B209" s="1" t="s">
        <v>16</v>
      </c>
      <c r="C209" s="1" t="s">
        <v>29</v>
      </c>
      <c r="D209" s="2">
        <v>45166</v>
      </c>
      <c r="E209" s="1" t="s">
        <v>18</v>
      </c>
      <c r="F209" s="1" t="s">
        <v>12</v>
      </c>
      <c r="G209" s="1" t="s">
        <v>13</v>
      </c>
      <c r="H209" s="1" t="s">
        <v>14</v>
      </c>
    </row>
    <row r="210" spans="1:8" x14ac:dyDescent="0.3">
      <c r="A210" s="1" t="s">
        <v>235</v>
      </c>
      <c r="B210" s="1" t="s">
        <v>9</v>
      </c>
      <c r="C210" s="1" t="s">
        <v>31</v>
      </c>
      <c r="D210" s="2">
        <v>45144</v>
      </c>
      <c r="E210" s="1" t="s">
        <v>11</v>
      </c>
      <c r="F210" s="1" t="s">
        <v>24</v>
      </c>
      <c r="G210" s="1" t="s">
        <v>19</v>
      </c>
      <c r="H210" s="1" t="s">
        <v>14</v>
      </c>
    </row>
    <row r="211" spans="1:8" x14ac:dyDescent="0.3">
      <c r="A211" s="1" t="s">
        <v>236</v>
      </c>
      <c r="B211" s="1" t="s">
        <v>16</v>
      </c>
      <c r="C211" s="1" t="s">
        <v>10</v>
      </c>
      <c r="D211" s="2">
        <v>45149</v>
      </c>
      <c r="E211" s="1" t="s">
        <v>23</v>
      </c>
      <c r="F211" s="1" t="s">
        <v>12</v>
      </c>
      <c r="G211" s="1" t="s">
        <v>13</v>
      </c>
      <c r="H211" s="1" t="s">
        <v>14</v>
      </c>
    </row>
    <row r="212" spans="1:8" x14ac:dyDescent="0.3">
      <c r="A212" s="1" t="s">
        <v>237</v>
      </c>
      <c r="B212" s="1" t="s">
        <v>9</v>
      </c>
      <c r="C212" s="1" t="s">
        <v>26</v>
      </c>
      <c r="D212" s="2">
        <v>45154</v>
      </c>
      <c r="E212" s="1" t="s">
        <v>11</v>
      </c>
      <c r="F212" s="1" t="s">
        <v>12</v>
      </c>
      <c r="G212" s="1" t="s">
        <v>13</v>
      </c>
      <c r="H212" s="1" t="s">
        <v>14</v>
      </c>
    </row>
    <row r="213" spans="1:8" x14ac:dyDescent="0.3">
      <c r="A213" s="1" t="s">
        <v>238</v>
      </c>
      <c r="B213" s="1" t="s">
        <v>16</v>
      </c>
      <c r="C213" s="1" t="s">
        <v>29</v>
      </c>
      <c r="D213" s="2">
        <v>45159</v>
      </c>
      <c r="E213" s="1" t="s">
        <v>18</v>
      </c>
      <c r="F213" s="1" t="s">
        <v>24</v>
      </c>
      <c r="G213" s="1" t="s">
        <v>35</v>
      </c>
      <c r="H213" s="1" t="s">
        <v>20</v>
      </c>
    </row>
    <row r="214" spans="1:8" x14ac:dyDescent="0.3">
      <c r="A214" s="1" t="s">
        <v>239</v>
      </c>
      <c r="B214" s="1" t="s">
        <v>9</v>
      </c>
      <c r="C214" s="1" t="s">
        <v>31</v>
      </c>
      <c r="D214" s="2">
        <v>45164</v>
      </c>
      <c r="E214" s="1" t="s">
        <v>11</v>
      </c>
      <c r="F214" s="1" t="s">
        <v>12</v>
      </c>
      <c r="G214" s="1" t="s">
        <v>19</v>
      </c>
      <c r="H214" s="1" t="s">
        <v>14</v>
      </c>
    </row>
    <row r="215" spans="1:8" x14ac:dyDescent="0.3">
      <c r="A215" s="1" t="s">
        <v>240</v>
      </c>
      <c r="B215" s="1" t="s">
        <v>16</v>
      </c>
      <c r="C215" s="1" t="s">
        <v>10</v>
      </c>
      <c r="D215" s="2">
        <v>45169</v>
      </c>
      <c r="E215" s="1" t="s">
        <v>23</v>
      </c>
      <c r="F215" s="1" t="s">
        <v>12</v>
      </c>
      <c r="G215" s="1" t="s">
        <v>13</v>
      </c>
      <c r="H215" s="1" t="s">
        <v>14</v>
      </c>
    </row>
    <row r="216" spans="1:8" x14ac:dyDescent="0.3">
      <c r="A216" s="1" t="s">
        <v>241</v>
      </c>
      <c r="B216" s="1" t="s">
        <v>9</v>
      </c>
      <c r="C216" s="1" t="s">
        <v>26</v>
      </c>
      <c r="D216" s="2">
        <v>45145</v>
      </c>
      <c r="E216" s="1" t="s">
        <v>11</v>
      </c>
      <c r="F216" s="1" t="s">
        <v>24</v>
      </c>
      <c r="G216" s="1" t="s">
        <v>19</v>
      </c>
      <c r="H216" s="1" t="s">
        <v>20</v>
      </c>
    </row>
    <row r="217" spans="1:8" x14ac:dyDescent="0.3">
      <c r="A217" s="1" t="s">
        <v>242</v>
      </c>
      <c r="B217" s="1" t="s">
        <v>16</v>
      </c>
      <c r="C217" s="1" t="s">
        <v>29</v>
      </c>
      <c r="D217" s="2">
        <v>45150</v>
      </c>
      <c r="E217" s="1" t="s">
        <v>27</v>
      </c>
      <c r="F217" s="1" t="s">
        <v>24</v>
      </c>
      <c r="G217" s="1" t="s">
        <v>19</v>
      </c>
      <c r="H217" s="1" t="s">
        <v>14</v>
      </c>
    </row>
    <row r="218" spans="1:8" x14ac:dyDescent="0.3">
      <c r="A218" s="1" t="s">
        <v>243</v>
      </c>
      <c r="B218" s="1" t="s">
        <v>9</v>
      </c>
      <c r="C218" s="1" t="s">
        <v>31</v>
      </c>
      <c r="D218" s="2">
        <v>45155</v>
      </c>
      <c r="E218" s="1" t="s">
        <v>18</v>
      </c>
      <c r="F218" s="1" t="s">
        <v>12</v>
      </c>
      <c r="G218" s="1" t="s">
        <v>13</v>
      </c>
      <c r="H218" s="1" t="s">
        <v>14</v>
      </c>
    </row>
    <row r="219" spans="1:8" x14ac:dyDescent="0.3">
      <c r="A219" s="1" t="s">
        <v>244</v>
      </c>
      <c r="B219" s="1" t="s">
        <v>16</v>
      </c>
      <c r="C219" s="1" t="s">
        <v>10</v>
      </c>
      <c r="D219" s="2">
        <v>45160</v>
      </c>
      <c r="E219" s="1" t="s">
        <v>11</v>
      </c>
      <c r="F219" s="1" t="s">
        <v>12</v>
      </c>
      <c r="G219" s="1" t="s">
        <v>13</v>
      </c>
      <c r="H219" s="1" t="s">
        <v>14</v>
      </c>
    </row>
    <row r="220" spans="1:8" x14ac:dyDescent="0.3">
      <c r="A220" s="1" t="s">
        <v>245</v>
      </c>
      <c r="B220" s="1" t="s">
        <v>9</v>
      </c>
      <c r="C220" s="1" t="s">
        <v>26</v>
      </c>
      <c r="D220" s="2">
        <v>45165</v>
      </c>
      <c r="E220" s="1" t="s">
        <v>23</v>
      </c>
      <c r="F220" s="1" t="s">
        <v>24</v>
      </c>
      <c r="G220" s="1" t="s">
        <v>35</v>
      </c>
      <c r="H220" s="1" t="s">
        <v>14</v>
      </c>
    </row>
    <row r="221" spans="1:8" x14ac:dyDescent="0.3">
      <c r="A221" s="1" t="s">
        <v>246</v>
      </c>
      <c r="B221" s="1" t="s">
        <v>16</v>
      </c>
      <c r="C221" s="1" t="s">
        <v>29</v>
      </c>
      <c r="D221" s="2">
        <v>45141</v>
      </c>
      <c r="E221" s="1" t="s">
        <v>11</v>
      </c>
      <c r="F221" s="1" t="s">
        <v>12</v>
      </c>
      <c r="G221" s="1" t="s">
        <v>13</v>
      </c>
      <c r="H221" s="1" t="s">
        <v>14</v>
      </c>
    </row>
    <row r="222" spans="1:8" x14ac:dyDescent="0.3">
      <c r="A222" s="1" t="s">
        <v>247</v>
      </c>
      <c r="B222" s="1" t="s">
        <v>9</v>
      </c>
      <c r="C222" s="1" t="s">
        <v>31</v>
      </c>
      <c r="D222" s="2">
        <v>45146</v>
      </c>
      <c r="E222" s="1" t="s">
        <v>23</v>
      </c>
      <c r="F222" s="1" t="s">
        <v>24</v>
      </c>
      <c r="G222" s="1" t="s">
        <v>19</v>
      </c>
      <c r="H222" s="1" t="s">
        <v>14</v>
      </c>
    </row>
    <row r="223" spans="1:8" x14ac:dyDescent="0.3">
      <c r="A223" s="1" t="s">
        <v>248</v>
      </c>
      <c r="B223" s="1" t="s">
        <v>16</v>
      </c>
      <c r="C223" s="1" t="s">
        <v>10</v>
      </c>
      <c r="D223" s="2">
        <v>45151</v>
      </c>
      <c r="E223" s="1" t="s">
        <v>11</v>
      </c>
      <c r="F223" s="1" t="s">
        <v>12</v>
      </c>
      <c r="G223" s="1" t="s">
        <v>13</v>
      </c>
      <c r="H223" s="1" t="s">
        <v>20</v>
      </c>
    </row>
    <row r="224" spans="1:8" x14ac:dyDescent="0.3">
      <c r="A224" s="1" t="s">
        <v>249</v>
      </c>
      <c r="B224" s="1" t="s">
        <v>9</v>
      </c>
      <c r="C224" s="1" t="s">
        <v>26</v>
      </c>
      <c r="D224" s="2">
        <v>45156</v>
      </c>
      <c r="E224" s="1" t="s">
        <v>18</v>
      </c>
      <c r="F224" s="1" t="s">
        <v>12</v>
      </c>
      <c r="G224" s="1" t="s">
        <v>19</v>
      </c>
      <c r="H224" s="1" t="s">
        <v>14</v>
      </c>
    </row>
    <row r="225" spans="1:8" x14ac:dyDescent="0.3">
      <c r="A225" s="1" t="s">
        <v>250</v>
      </c>
      <c r="B225" s="1" t="s">
        <v>16</v>
      </c>
      <c r="C225" s="1" t="s">
        <v>29</v>
      </c>
      <c r="D225" s="2">
        <v>45161</v>
      </c>
      <c r="E225" s="1" t="s">
        <v>11</v>
      </c>
      <c r="F225" s="1" t="s">
        <v>24</v>
      </c>
      <c r="G225" s="1" t="s">
        <v>13</v>
      </c>
      <c r="H225" s="1" t="s">
        <v>14</v>
      </c>
    </row>
    <row r="226" spans="1:8" x14ac:dyDescent="0.3">
      <c r="A226" s="1" t="s">
        <v>251</v>
      </c>
      <c r="B226" s="1" t="s">
        <v>9</v>
      </c>
      <c r="C226" s="1" t="s">
        <v>31</v>
      </c>
      <c r="D226" s="2">
        <v>45166</v>
      </c>
      <c r="E226" s="1" t="s">
        <v>23</v>
      </c>
      <c r="F226" s="1" t="s">
        <v>12</v>
      </c>
      <c r="G226" s="1" t="s">
        <v>19</v>
      </c>
      <c r="H226" s="1" t="s">
        <v>14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FE3FE-CA22-4F69-B9F8-A8C752821AB1}">
  <dimension ref="N5"/>
  <sheetViews>
    <sheetView tabSelected="1" topLeftCell="A2" zoomScaleNormal="100" workbookViewId="0">
      <selection activeCell="S3" sqref="S3"/>
    </sheetView>
  </sheetViews>
  <sheetFormatPr defaultRowHeight="14.4" x14ac:dyDescent="0.3"/>
  <cols>
    <col min="1" max="16384" width="8.88671875" style="5"/>
  </cols>
  <sheetData>
    <row r="5" spans="14:14" x14ac:dyDescent="0.3">
      <c r="N5" s="5" t="s">
        <v>255</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4BC0E98-AC6A-4FE6-9F8D-7B6E806477A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Executive</vt:lpstr>
      <vt:lpstr>Gender</vt:lpstr>
      <vt:lpstr>Sales Status</vt:lpstr>
      <vt:lpstr>Branch</vt:lpstr>
      <vt:lpstr>Property Type</vt:lpstr>
      <vt:lpstr>Inspection</vt:lpstr>
      <vt:lpstr>EMERALD PROPERTIES SALES DATA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Timothy Ugwu</dc:creator>
  <cp:lastModifiedBy>Timothy Ugwu</cp:lastModifiedBy>
  <dcterms:created xsi:type="dcterms:W3CDTF">2026-02-01T13:10:36Z</dcterms:created>
  <dcterms:modified xsi:type="dcterms:W3CDTF">2026-02-08T13:53:18Z</dcterms:modified>
</cp:coreProperties>
</file>